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TEAM PJT JM 2\Ssafy_We_Are\"/>
    </mc:Choice>
  </mc:AlternateContent>
  <xr:revisionPtr revIDLastSave="0" documentId="13_ncr:1_{FC353505-9614-4F8A-BC1F-7BB96E6000C4}" xr6:coauthVersionLast="47" xr6:coauthVersionMax="47" xr10:uidLastSave="{00000000-0000-0000-0000-000000000000}"/>
  <bookViews>
    <workbookView xWindow="-120" yWindow="-120" windowWidth="38640" windowHeight="21120" tabRatio="500" firstSheet="1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G16" i="4"/>
  <c r="G17" i="4"/>
  <c r="G19" i="4"/>
  <c r="G18" i="4"/>
  <c r="G6" i="4"/>
</calcChain>
</file>

<file path=xl/sharedStrings.xml><?xml version="1.0" encoding="utf-8"?>
<sst xmlns="http://schemas.openxmlformats.org/spreadsheetml/2006/main" count="365" uniqueCount="300">
  <si>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</si>
  <si>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</si>
  <si>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</si>
  <si>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</si>
  <si>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</si>
  <si>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</si>
  <si>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</si>
  <si>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</si>
  <si>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</si>
  <si>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</si>
  <si>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</si>
  <si>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</si>
  <si>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</si>
  <si>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</si>
  <si>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</si>
  <si>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</si>
  <si>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</si>
  <si>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</si>
  <si>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</si>
  <si>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</si>
  <si>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</si>
  <si>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</si>
  <si>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</si>
  <si>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</si>
  <si>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</si>
  <si>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</si>
  <si>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</si>
  <si>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</si>
  <si>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</si>
  <si>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</si>
  <si>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</si>
  <si>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</si>
  <si>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</si>
  <si>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</si>
  <si>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</si>
  <si>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</si>
  <si>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</si>
  <si>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</si>
  <si>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</si>
  <si>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</si>
  <si>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</si>
  <si>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</si>
  <si>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</si>
  <si>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</si>
  <si>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</si>
  <si>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</si>
  <si>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</si>
  <si>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</si>
  <si>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</si>
  <si>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</si>
  <si>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</si>
  <si>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</si>
  <si>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</si>
  <si>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</si>
  <si>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</si>
  <si>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</si>
  <si>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</si>
  <si>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</si>
  <si>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</si>
  <si>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</si>
  <si>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</si>
  <si>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</si>
  <si>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</si>
  <si>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</si>
  <si>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</si>
  <si>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</si>
  <si>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</si>
  <si>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</si>
  <si>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</si>
  <si>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</si>
  <si>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</si>
  <si>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</si>
  <si>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</si>
  <si>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</si>
  <si>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</si>
  <si>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</si>
  <si>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</si>
  <si>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</si>
  <si>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</si>
  <si>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</si>
  <si>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</si>
  <si>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</si>
  <si>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</si>
  <si>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</si>
  <si>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</si>
  <si>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</si>
  <si>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</si>
  <si>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</si>
  <si>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</si>
  <si>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</si>
  <si>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</si>
  <si>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</si>
  <si>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</si>
  <si>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</si>
  <si>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</si>
  <si>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</si>
  <si>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</si>
  <si>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</si>
  <si>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</si>
  <si>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</si>
  <si>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</si>
  <si>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</si>
  <si>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</si>
  <si>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</si>
  <si>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</si>
  <si>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</si>
  <si>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</si>
  <si>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</si>
  <si>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</si>
  <si>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</si>
  <si>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</si>
  <si>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</si>
  <si>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</si>
  <si>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</si>
  <si>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</si>
  <si>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</si>
  <si>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</si>
  <si>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</si>
  <si>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</si>
  <si>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</si>
  <si>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</si>
  <si>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</si>
  <si>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</si>
  <si>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</si>
  <si>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</si>
  <si>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</si>
  <si>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</si>
  <si>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</si>
  <si>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</si>
  <si>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</si>
  <si>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</si>
  <si>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</si>
  <si>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</si>
  <si>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</si>
  <si>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</si>
  <si>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</si>
  <si>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</si>
  <si>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</si>
  <si>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</si>
  <si>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</si>
  <si>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</si>
  <si>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</si>
  <si>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</si>
  <si>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</si>
  <si>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</si>
  <si>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</si>
  <si>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</si>
  <si>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</si>
  <si>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</si>
  <si>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</si>
  <si>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치안 히트맵</t>
  </si>
  <si>
    <t>사용자 편의성 향상</t>
  </si>
  <si>
    <t>최근 검색 기록</t>
  </si>
  <si>
    <t>사용자 맞춤형 지도 제공</t>
  </si>
  <si>
    <t>게시판 사용성 향상</t>
  </si>
  <si>
    <t>실시간 범죄 데이터 수집</t>
  </si>
  <si>
    <t>실시간 위치 공유</t>
  </si>
  <si>
    <t>개발 의뢰 문서(RFP) 근거</t>
  </si>
  <si>
    <t>검토 의견</t>
  </si>
  <si>
    <t>Must</t>
  </si>
  <si>
    <t>안전 지도</t>
  </si>
  <si>
    <t>현재 위치를 기준으로 주변 CCTV와 경찰관서를 지도에 표시</t>
  </si>
  <si>
    <t>공공데이터 활용 및 프론트엔드 데이터 연동 구현</t>
  </si>
  <si>
    <t>SafeWalk의 핵심 기능으로 반드시 구현</t>
  </si>
  <si>
    <t>CCTV 및 경찰관서 분포를 기반으로 지역 안전도를 시각화</t>
  </si>
  <si>
    <t>공공데이터를 활용한 지도 기반 서비스 구현</t>
  </si>
  <si>
    <t>사용자에게 직관적인 안전도 제공</t>
  </si>
  <si>
    <t>듀얼 경로 안내</t>
  </si>
  <si>
    <t>최단 경로와 최고 안전 경로를 동시에 제공</t>
  </si>
  <si>
    <t>선택 기능 예시인 '경로 안내'를 프로젝트 핵심 기능으로 확장</t>
  </si>
  <si>
    <t>서비스 차별화를 위한 핵심 기능</t>
  </si>
  <si>
    <t>CCTV 사각지대 알림</t>
  </si>
  <si>
    <t>CCTV 또는 치안시설이 부족한 구간을 탐지하여 경고</t>
  </si>
  <si>
    <t>공공데이터 기반 위치 서비스 구현 취지</t>
  </si>
  <si>
    <t>사용자 안전 향상 기능</t>
  </si>
  <si>
    <t>범죄 예방 AI 챗봇</t>
  </si>
  <si>
    <t>OpenAI API를 이용하여 안전 정보 및 치안 정보를 제공</t>
  </si>
  <si>
    <t>챗봇 기능 구현(OpenAI API 직접 호출, 채팅 UI 개발)</t>
  </si>
  <si>
    <t>RFP 필수 기능이므로 반드시 구현</t>
  </si>
  <si>
    <t>익명 커뮤니티</t>
  </si>
  <si>
    <t>로그인 없이 게시글 CRUD 기능 제공(LocalStorage 활용)</t>
  </si>
  <si>
    <t>커뮤니티 CRUD 구현(익명, localStorage, CRUD)</t>
  </si>
  <si>
    <t>RFP 필수 기능 충족(MVP 수준 구현)</t>
  </si>
  <si>
    <t>Vue.js 3 SPA</t>
  </si>
  <si>
    <t>Vue3 기반 단일 페이지 애플리케이션으로 개발</t>
  </si>
  <si>
    <t>Vue.js 3 기반 SPA 필수</t>
  </si>
  <si>
    <t>개발 환경 요구사항 준수</t>
  </si>
  <si>
    <t>Netlify 배포</t>
  </si>
  <si>
    <t>프론트엔드 배포 및 외부 접속 URL 제출</t>
  </si>
  <si>
    <t>Netlify 배포 필수</t>
  </si>
  <si>
    <t>최종 제출 조건 충족</t>
  </si>
  <si>
    <t>Should</t>
  </si>
  <si>
    <t>즐겨찾기</t>
  </si>
  <si>
    <t>집·학교·회사 등 자주 사용하는 장소 저장</t>
  </si>
  <si>
    <t>선택 기능(사용자 편의 기능)</t>
  </si>
  <si>
    <t>구현 여유 시 추가</t>
  </si>
  <si>
    <t>최근 검색한 목적지 저장</t>
  </si>
  <si>
    <t>프로젝트 자체 확장 기능</t>
  </si>
  <si>
    <t>사용성 향상</t>
  </si>
  <si>
    <t>지도 레이어 토글</t>
  </si>
  <si>
    <t>CCTV·경찰관서·히트맵 표시 ON/OFF</t>
  </si>
  <si>
    <t>지도 시각화 선택 기능</t>
  </si>
  <si>
    <t>안전도 통계</t>
  </si>
  <si>
    <t>CCTV 수, 경찰관서 수 등 통계 제공</t>
  </si>
  <si>
    <t>데이터 시각화 대시보드 선택 기능</t>
  </si>
  <si>
    <t>서비스 이해도 향상</t>
  </si>
  <si>
    <t>Could</t>
  </si>
  <si>
    <t>야간 모드</t>
  </si>
  <si>
    <t>다크모드 UI 제공</t>
  </si>
  <si>
    <t>프로젝트 자체 개선 기능</t>
  </si>
  <si>
    <t>게시글 검색</t>
  </si>
  <si>
    <t>제목 기준 게시글 검색</t>
  </si>
  <si>
    <t>커뮤니티 게시판 추가 기능</t>
  </si>
  <si>
    <t>Won't</t>
  </si>
  <si>
    <t>회원가입 및 로그인</t>
  </si>
  <si>
    <t>사용자 인증 기능은 구현하지 않음</t>
  </si>
  <si>
    <t>익명 커뮤니티 요구사항</t>
  </si>
  <si>
    <t>RFP 요구사항에 맞춰 제외</t>
  </si>
  <si>
    <t>백엔드 서버 구축</t>
  </si>
  <si>
    <t>서버 및 DB를 구축하지 않음</t>
  </si>
  <si>
    <t>프론트엔드 단일 구조(SPA) 요구</t>
  </si>
  <si>
    <t>브라우저에서 JSON 직접 처리</t>
  </si>
  <si>
    <t>실시간 CCTV 영상</t>
  </si>
  <si>
    <t>CCTV 위치 정보만 활용하고 영상은 제공하지 않음</t>
  </si>
  <si>
    <t>제공 데이터 범위 외 기능</t>
  </si>
  <si>
    <t>공공데이터 범위 초과</t>
  </si>
  <si>
    <t>실시간 뉴스 수집 대신 사전 수집한 JSON 데이터를 활용</t>
  </si>
  <si>
    <t>제공 JSON 기반 데이터 활용</t>
  </si>
  <si>
    <t>구현 난이도와 일정 고려</t>
  </si>
  <si>
    <t>사용자 간 위치 공유 기능은 제공하지 않음</t>
  </si>
  <si>
    <t>프로젝트 범위 외</t>
  </si>
  <si>
    <t>개인정보 및 서버 구축 필요</t>
  </si>
  <si>
    <t>광주광역시</t>
    <phoneticPr fontId="17" type="noConversion"/>
  </si>
  <si>
    <r>
      <rPr>
        <sz val="10"/>
        <color rgb="FF222222"/>
        <rFont val="돋움"/>
        <family val="3"/>
        <charset val="129"/>
      </rPr>
      <t>야간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보행자는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주변</t>
    </r>
    <r>
      <rPr>
        <sz val="10"/>
        <color rgb="FF222222"/>
        <rFont val="Noto Sans CJK SC"/>
        <family val="2"/>
      </rPr>
      <t xml:space="preserve"> CCTV, </t>
    </r>
    <r>
      <rPr>
        <sz val="10"/>
        <color rgb="FF222222"/>
        <rFont val="돋움"/>
        <family val="3"/>
        <charset val="129"/>
      </rPr>
      <t>경찰관서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치안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인프라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한눈에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확인하기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어렵고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단순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최단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경로만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제공받아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안전한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귀갓길을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선택하기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어렵다</t>
    </r>
    <r>
      <rPr>
        <sz val="10"/>
        <color rgb="FF222222"/>
        <rFont val="Noto Sans CJK SC"/>
        <family val="2"/>
      </rPr>
      <t>.</t>
    </r>
    <phoneticPr fontId="17" type="noConversion"/>
  </si>
  <si>
    <r>
      <rPr>
        <sz val="10"/>
        <color rgb="FF222222"/>
        <rFont val="돋움"/>
        <family val="3"/>
        <charset val="129"/>
      </rPr>
      <t>야간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귀가를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하는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일반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시민
여성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1</t>
    </r>
    <r>
      <rPr>
        <sz val="10"/>
        <color rgb="FF222222"/>
        <rFont val="돋움"/>
        <family val="3"/>
        <charset val="129"/>
      </rPr>
      <t>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가구
낯선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지역을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방문한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이용자
안전한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경로가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사용자</t>
    </r>
    <phoneticPr fontId="17" type="noConversion"/>
  </si>
  <si>
    <r>
      <rPr>
        <sz val="10"/>
        <color rgb="FF222222"/>
        <rFont val="돋움"/>
        <family val="3"/>
        <charset val="129"/>
      </rPr>
      <t>필수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 xml:space="preserve"> 100% </t>
    </r>
    <r>
      <rPr>
        <sz val="10"/>
        <color rgb="FF222222"/>
        <rFont val="돋움"/>
        <family val="3"/>
        <charset val="129"/>
      </rPr>
      <t xml:space="preserve">구현
</t>
    </r>
    <r>
      <rPr>
        <sz val="10"/>
        <color rgb="FF222222"/>
        <rFont val="Noto Sans CJK SC"/>
        <family val="2"/>
      </rPr>
      <t xml:space="preserve">Vue3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프론트엔드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 xml:space="preserve">동작
</t>
    </r>
    <r>
      <rPr>
        <sz val="10"/>
        <color rgb="FF222222"/>
        <rFont val="Noto Sans CJK SC"/>
        <family val="2"/>
      </rPr>
      <t xml:space="preserve">OpenAI </t>
    </r>
    <r>
      <rPr>
        <sz val="10"/>
        <color rgb="FF222222"/>
        <rFont val="돋움"/>
        <family val="3"/>
        <charset val="129"/>
      </rPr>
      <t>챗봇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 xml:space="preserve">응답
</t>
    </r>
    <r>
      <rPr>
        <sz val="10"/>
        <color rgb="FF222222"/>
        <rFont val="Noto Sans CJK SC"/>
        <family val="2"/>
      </rPr>
      <t xml:space="preserve">Netlify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완료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URL </t>
    </r>
    <r>
      <rPr>
        <sz val="10"/>
        <color rgb="FF222222"/>
        <rFont val="돋움"/>
        <family val="3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 xml:space="preserve">동작
</t>
    </r>
    <r>
      <rPr>
        <sz val="10"/>
        <color rgb="FF222222"/>
        <rFont val="Noto Sans CJK SC"/>
        <family val="2"/>
      </rPr>
      <t xml:space="preserve">CCTV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안전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추천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시연</t>
    </r>
  </si>
  <si>
    <r>
      <rPr>
        <sz val="10"/>
        <color rgb="FF222222"/>
        <rFont val="돋움"/>
        <family val="3"/>
        <charset val="129"/>
      </rPr>
      <t>현재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위치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안전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지도</t>
    </r>
    <r>
      <rPr>
        <sz val="10"/>
        <color rgb="FF222222"/>
        <rFont val="Arial"/>
        <family val="2"/>
      </rPr>
      <t xml:space="preserve"> (CCTV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경찰관서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위치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표시</t>
    </r>
    <r>
      <rPr>
        <sz val="10"/>
        <color rgb="FF222222"/>
        <rFont val="Arial"/>
        <family val="2"/>
      </rPr>
      <t>)</t>
    </r>
    <phoneticPr fontId="17" type="noConversion"/>
  </si>
  <si>
    <r>
      <t xml:space="preserve">CCTV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경찰관서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데이터를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활용한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치안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히트맵</t>
    </r>
  </si>
  <si>
    <r>
      <rPr>
        <sz val="10"/>
        <color rgb="FF222222"/>
        <rFont val="돋움"/>
        <family val="3"/>
        <charset val="129"/>
      </rPr>
      <t>최단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시간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경로와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최고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안전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경로를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비교하는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듀얼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경로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안내</t>
    </r>
    <phoneticPr fontId="17" type="noConversion"/>
  </si>
  <si>
    <r>
      <t xml:space="preserve">CCTV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치안시설이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부족한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구간을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탐지하는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사각지대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알림</t>
    </r>
    <phoneticPr fontId="17" type="noConversion"/>
  </si>
  <si>
    <r>
      <t xml:space="preserve">OpenAI API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범죄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예방</t>
    </r>
    <r>
      <rPr>
        <sz val="10"/>
        <color rgb="FF222222"/>
        <rFont val="Arial"/>
        <family val="2"/>
      </rPr>
      <t xml:space="preserve"> AI </t>
    </r>
    <r>
      <rPr>
        <sz val="10"/>
        <color rgb="FF222222"/>
        <rFont val="돋움"/>
        <family val="3"/>
        <charset val="129"/>
      </rPr>
      <t>챗봇</t>
    </r>
    <phoneticPr fontId="17" type="noConversion"/>
  </si>
  <si>
    <r>
      <rPr>
        <sz val="10"/>
        <color rgb="FF222222"/>
        <rFont val="돋움"/>
        <family val="3"/>
        <charset val="129"/>
      </rPr>
      <t>익명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CRUD (LocalStorage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조회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3"/>
        <charset val="129"/>
      </rPr>
      <t>작성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3"/>
        <charset val="129"/>
      </rPr>
      <t>수정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3"/>
        <charset val="129"/>
      </rPr>
      <t>삭제</t>
    </r>
    <r>
      <rPr>
        <sz val="10"/>
        <color rgb="FF222222"/>
        <rFont val="Arial"/>
        <family val="2"/>
      </rPr>
      <t>)</t>
    </r>
    <phoneticPr fontId="17" type="noConversion"/>
  </si>
  <si>
    <r>
      <t xml:space="preserve">Vue.js 3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Arial"/>
        <family val="2"/>
      </rPr>
      <t xml:space="preserve"> SPA </t>
    </r>
    <r>
      <rPr>
        <sz val="10"/>
        <color rgb="FF222222"/>
        <rFont val="돋움"/>
        <family val="3"/>
        <charset val="129"/>
      </rPr>
      <t>구현</t>
    </r>
    <phoneticPr fontId="17" type="noConversion"/>
  </si>
  <si>
    <r>
      <t xml:space="preserve">Netlify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Arial"/>
        <family val="2"/>
      </rPr>
      <t xml:space="preserve"> URL </t>
    </r>
    <r>
      <rPr>
        <sz val="10"/>
        <color rgb="FF222222"/>
        <rFont val="돋움"/>
        <family val="3"/>
        <charset val="129"/>
      </rPr>
      <t>제출</t>
    </r>
    <phoneticPr fontId="17" type="noConversion"/>
  </si>
  <si>
    <r>
      <rPr>
        <sz val="10"/>
        <color rgb="FF222222"/>
        <rFont val="돋움"/>
        <family val="3"/>
        <charset val="129"/>
      </rPr>
      <t>기능명세서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Arial"/>
        <family val="2"/>
      </rPr>
      <t xml:space="preserve"> WBS </t>
    </r>
    <r>
      <rPr>
        <sz val="10"/>
        <color rgb="FF222222"/>
        <rFont val="돋움"/>
        <family val="3"/>
        <charset val="129"/>
      </rPr>
      <t>문서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작성</t>
    </r>
    <phoneticPr fontId="17" type="noConversion"/>
  </si>
  <si>
    <r>
      <rPr>
        <sz val="10"/>
        <color rgb="FF222222"/>
        <rFont val="돋움"/>
        <family val="3"/>
        <charset val="129"/>
      </rPr>
      <t>즐겨찾기</t>
    </r>
    <r>
      <rPr>
        <sz val="10"/>
        <color rgb="FF222222"/>
        <rFont val="Arial"/>
        <family val="2"/>
      </rPr>
      <t>(</t>
    </r>
    <r>
      <rPr>
        <sz val="10"/>
        <color rgb="FF222222"/>
        <rFont val="돋움"/>
        <family val="3"/>
        <charset val="129"/>
      </rPr>
      <t>집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3"/>
        <charset val="129"/>
      </rPr>
      <t>학교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3"/>
        <charset val="129"/>
      </rPr>
      <t>회사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돋움"/>
        <family val="3"/>
        <charset val="129"/>
      </rPr>
      <t>저장</t>
    </r>
    <phoneticPr fontId="17" type="noConversion"/>
  </si>
  <si>
    <r>
      <rPr>
        <sz val="10"/>
        <color rgb="FF222222"/>
        <rFont val="돋움"/>
        <family val="3"/>
        <charset val="129"/>
      </rPr>
      <t>최근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검색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기록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저장</t>
    </r>
    <phoneticPr fontId="17" type="noConversion"/>
  </si>
  <si>
    <r>
      <rPr>
        <sz val="10"/>
        <color rgb="FF222222"/>
        <rFont val="돋움"/>
        <family val="3"/>
        <charset val="129"/>
      </rPr>
      <t>지도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레이어</t>
    </r>
    <r>
      <rPr>
        <sz val="10"/>
        <color rgb="FF222222"/>
        <rFont val="Arial"/>
        <family val="2"/>
      </rPr>
      <t xml:space="preserve"> ON/OFF (CCTV·</t>
    </r>
    <r>
      <rPr>
        <sz val="10"/>
        <color rgb="FF222222"/>
        <rFont val="돋움"/>
        <family val="3"/>
        <charset val="129"/>
      </rPr>
      <t>경찰관서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3"/>
        <charset val="129"/>
      </rPr>
      <t>히트맵</t>
    </r>
    <r>
      <rPr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</si>
  <si>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돋움"/>
        <family val="3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안전도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통계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제공</t>
    </r>
    <phoneticPr fontId="17" type="noConversion"/>
  </si>
  <si>
    <r>
      <rPr>
        <sz val="10"/>
        <color rgb="FF222222"/>
        <rFont val="돋움"/>
        <family val="3"/>
        <charset val="129"/>
      </rPr>
      <t>다크모드</t>
    </r>
    <r>
      <rPr>
        <sz val="10"/>
        <color rgb="FF222222"/>
        <rFont val="Arial"/>
        <family val="2"/>
      </rPr>
      <t>(</t>
    </r>
    <r>
      <rPr>
        <sz val="10"/>
        <color rgb="FF222222"/>
        <rFont val="돋움"/>
        <family val="3"/>
        <charset val="129"/>
      </rPr>
      <t>야간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모드</t>
    </r>
    <r>
      <rPr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</si>
  <si>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돋움"/>
        <family val="3"/>
        <charset val="129"/>
      </rPr>
      <t>게시글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검색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기능</t>
    </r>
    <phoneticPr fontId="17" type="noConversion"/>
  </si>
  <si>
    <r>
      <rPr>
        <sz val="10"/>
        <color rgb="FF222222"/>
        <rFont val="돋움"/>
        <family val="3"/>
        <charset val="129"/>
      </rPr>
      <t>회원가입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로그인</t>
    </r>
    <phoneticPr fontId="17" type="noConversion"/>
  </si>
  <si>
    <r>
      <rPr>
        <sz val="10"/>
        <color rgb="FF222222"/>
        <rFont val="돋움"/>
        <family val="3"/>
        <charset val="129"/>
      </rPr>
      <t>백엔드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서버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데이터베이스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구축</t>
    </r>
    <phoneticPr fontId="17" type="noConversion"/>
  </si>
  <si>
    <r>
      <rPr>
        <sz val="10"/>
        <color rgb="FF222222"/>
        <rFont val="돋움"/>
        <family val="3"/>
        <charset val="129"/>
      </rPr>
      <t>실시간</t>
    </r>
    <r>
      <rPr>
        <sz val="10"/>
        <color rgb="FF222222"/>
        <rFont val="Arial"/>
        <family val="2"/>
      </rPr>
      <t xml:space="preserve"> CCTV </t>
    </r>
    <r>
      <rPr>
        <sz val="10"/>
        <color rgb="FF222222"/>
        <rFont val="돋움"/>
        <family val="3"/>
        <charset val="129"/>
      </rPr>
      <t>영상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제공</t>
    </r>
    <phoneticPr fontId="17" type="noConversion"/>
  </si>
  <si>
    <r>
      <rPr>
        <sz val="10"/>
        <color rgb="FF222222"/>
        <rFont val="돋움"/>
        <family val="3"/>
        <charset val="129"/>
      </rPr>
      <t>실시간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범죄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수집</t>
    </r>
    <phoneticPr fontId="17" type="noConversion"/>
  </si>
  <si>
    <r>
      <rPr>
        <sz val="10"/>
        <color rgb="FF222222"/>
        <rFont val="돋움"/>
        <family val="3"/>
        <charset val="129"/>
      </rPr>
      <t>사용자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간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실시간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위치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공유</t>
    </r>
    <phoneticPr fontId="17" type="noConversion"/>
  </si>
  <si>
    <r>
      <rPr>
        <sz val="10"/>
        <color rgb="FF222222"/>
        <rFont val="돋움"/>
        <family val="3"/>
        <charset val="129"/>
      </rPr>
      <t>실시간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푸시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알림</t>
    </r>
    <phoneticPr fontId="17" type="noConversion"/>
  </si>
  <si>
    <r>
      <rPr>
        <sz val="10"/>
        <color rgb="FF222222"/>
        <rFont val="돋움"/>
        <family val="3"/>
        <charset val="129"/>
      </rPr>
      <t>다중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지역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서비스</t>
    </r>
    <r>
      <rPr>
        <sz val="10"/>
        <color rgb="FF222222"/>
        <rFont val="Arial"/>
        <family val="3"/>
        <charset val="129"/>
      </rPr>
      <t xml:space="preserve"> (</t>
    </r>
    <r>
      <rPr>
        <sz val="10"/>
        <color rgb="FF222222"/>
        <rFont val="돋움"/>
        <family val="3"/>
        <charset val="129"/>
      </rPr>
      <t>선정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지역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외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지원</t>
    </r>
    <r>
      <rPr>
        <sz val="10"/>
        <color rgb="FF222222"/>
        <rFont val="Arial"/>
        <family val="3"/>
        <charset val="129"/>
      </rPr>
      <t>)</t>
    </r>
    <phoneticPr fontId="17" type="noConversion"/>
  </si>
  <si>
    <t>CCTV와 경찰관서 밀집도를 기반으로 지역별 안전도를 히트맵으로 시각화</t>
  </si>
  <si>
    <t>선정</t>
  </si>
  <si>
    <t>집·학교·회사 등 자주 사용하는 장소를 저장하여 빠르게 경로 탐색</t>
  </si>
  <si>
    <t>보류</t>
  </si>
  <si>
    <t>최근 검색한 목적지를 저장하여 다시 검색할 수 있도록 제공</t>
  </si>
  <si>
    <t>보류</t>
    <phoneticPr fontId="17" type="noConversion"/>
  </si>
  <si>
    <t>지도 레이어 ON/OFF</t>
  </si>
  <si>
    <t>CCTV, 경찰관서, 히트맵 표시 여부를 사용자가 선택</t>
  </si>
  <si>
    <t>선정</t>
    <phoneticPr fontId="17" type="noConversion"/>
  </si>
  <si>
    <t>CCTV 수, 경찰관서 수, 평균 안전도를 차트로 제공</t>
  </si>
  <si>
    <t>다크모드/라이트모드 전환으로 야간 가독성 향상</t>
  </si>
  <si>
    <t>제외</t>
    <phoneticPr fontId="17" type="noConversion"/>
  </si>
  <si>
    <t>커뮤니티 게시글을 제목 기준으로 검색</t>
  </si>
  <si>
    <t>치안 기사 요약</t>
  </si>
  <si>
    <t>사전에 수집한 치안 기사(JSON)를 GPT가 요약하여 제공</t>
  </si>
  <si>
    <r>
      <rPr>
        <b/>
        <sz val="10"/>
        <color rgb="FF222222"/>
        <rFont val="돋움"/>
        <family val="3"/>
        <charset val="129"/>
      </rPr>
      <t>안전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경로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추천</t>
    </r>
    <phoneticPr fontId="17" type="noConversion"/>
  </si>
  <si>
    <r>
      <t xml:space="preserve">CCTV </t>
    </r>
    <r>
      <rPr>
        <b/>
        <sz val="10"/>
        <color rgb="FF222222"/>
        <rFont val="돋움"/>
        <family val="3"/>
        <charset val="129"/>
      </rPr>
      <t>밀집도와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경찰관서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위치를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반영하여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최단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경로와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최고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안전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경로를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비교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제공</t>
    </r>
    <phoneticPr fontId="17" type="noConversion"/>
  </si>
  <si>
    <t>익명 커뮤니티 CRUD</t>
  </si>
  <si>
    <t>지역 주민이 위험 정보를 공유할 수 있는 게시판(LocalStorage)</t>
  </si>
  <si>
    <r>
      <t>1</t>
    </r>
    <r>
      <rPr>
        <sz val="11"/>
        <color theme="1"/>
        <rFont val="돋움"/>
        <family val="3"/>
        <charset val="129"/>
      </rPr>
      <t xml:space="preserve">순위
</t>
    </r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돋움"/>
        <family val="3"/>
        <charset val="129"/>
      </rPr>
      <t>안전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경로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추천</t>
    </r>
    <r>
      <rPr>
        <sz val="11"/>
        <color theme="1"/>
        <rFont val="Calibri"/>
        <family val="2"/>
        <charset val="1"/>
      </rPr>
      <t xml:space="preserve"> (</t>
    </r>
    <r>
      <rPr>
        <sz val="11"/>
        <color theme="1"/>
        <rFont val="돋움"/>
        <family val="3"/>
        <charset val="129"/>
      </rPr>
      <t>최단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경로</t>
    </r>
    <r>
      <rPr>
        <sz val="11"/>
        <color theme="1"/>
        <rFont val="Calibri"/>
        <family val="2"/>
        <charset val="1"/>
      </rPr>
      <t xml:space="preserve"> vs </t>
    </r>
    <r>
      <rPr>
        <sz val="11"/>
        <color theme="1"/>
        <rFont val="돋움"/>
        <family val="3"/>
        <charset val="129"/>
      </rPr>
      <t>최고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안전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경로</t>
    </r>
    <r>
      <rPr>
        <sz val="11"/>
        <color theme="1"/>
        <rFont val="Calibri"/>
        <family val="2"/>
        <charset val="1"/>
      </rPr>
      <t xml:space="preserve">)
2. CCTV </t>
    </r>
    <r>
      <rPr>
        <sz val="11"/>
        <color theme="1"/>
        <rFont val="돋움"/>
        <family val="3"/>
        <charset val="129"/>
      </rPr>
      <t>사각지대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탐지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 xml:space="preserve">경고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돋움"/>
        <family val="3"/>
        <charset val="129"/>
      </rPr>
      <t>치안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 xml:space="preserve">히트맵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돋움"/>
        <family val="3"/>
        <charset val="129"/>
      </rPr>
      <t>범죄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예방</t>
    </r>
    <r>
      <rPr>
        <sz val="11"/>
        <color theme="1"/>
        <rFont val="Calibri"/>
        <family val="2"/>
        <charset val="1"/>
      </rPr>
      <t xml:space="preserve"> AI </t>
    </r>
    <r>
      <rPr>
        <sz val="11"/>
        <color theme="1"/>
        <rFont val="돋움"/>
        <family val="3"/>
        <charset val="129"/>
      </rPr>
      <t xml:space="preserve">챗봇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돋움"/>
        <family val="3"/>
        <charset val="129"/>
      </rPr>
      <t>익명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커뮤니티</t>
    </r>
    <r>
      <rPr>
        <sz val="11"/>
        <color theme="1"/>
        <rFont val="Calibri"/>
        <family val="2"/>
        <charset val="1"/>
      </rPr>
      <t xml:space="preserve"> CRUD</t>
    </r>
    <phoneticPr fontId="17" type="noConversion"/>
  </si>
  <si>
    <t>개발</t>
    <phoneticPr fontId="17" type="noConversion"/>
  </si>
  <si>
    <t>요구사항 분석 및 기능 정의</t>
  </si>
  <si>
    <t>팀전체</t>
  </si>
  <si>
    <t>MVP 정의 및 기능 우선순위 선정</t>
  </si>
  <si>
    <t>화면(UI) 및 와이어프레임 설계</t>
  </si>
  <si>
    <t>공공데이터(JSON) 및 지도 구조 설계</t>
  </si>
  <si>
    <t>안전 경로 추천(최단/최고 안전) 구현</t>
  </si>
  <si>
    <t>CCTV 사각지대 탐지 및 경고 구현</t>
  </si>
  <si>
    <t>범죄 예방 AI 챗봇(OpenAI API) 구현</t>
  </si>
  <si>
    <t>익명 커뮤니티 CRUD 구현(LocalStorage)</t>
  </si>
  <si>
    <t>치안 히트맵 및 지도 레이어 구현</t>
  </si>
  <si>
    <t>Netlify 배포 및 환경 설정</t>
  </si>
  <si>
    <t>통합 테스트 및 버그 수정</t>
  </si>
  <si>
    <t>기능명세서 및 프로젝트 문서 정리</t>
  </si>
  <si>
    <t>발표 PPT 제작 및 시연 리허설</t>
  </si>
  <si>
    <t>김지명</t>
    <phoneticPr fontId="17" type="noConversion"/>
  </si>
  <si>
    <t>전준혁</t>
    <phoneticPr fontId="17" type="noConversion"/>
  </si>
  <si>
    <t>정용철</t>
    <phoneticPr fontId="17" type="noConversion"/>
  </si>
  <si>
    <t>팀전체</t>
    <phoneticPr fontId="17" type="noConversion"/>
  </si>
  <si>
    <t>완료</t>
  </si>
  <si>
    <r>
      <rPr>
        <sz val="10"/>
        <color rgb="FF222222"/>
        <rFont val="맑은 고딕"/>
        <family val="3"/>
        <charset val="129"/>
      </rPr>
      <t>안전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지도</t>
    </r>
    <r>
      <rPr>
        <sz val="10"/>
        <color rgb="FF222222"/>
        <rFont val="Arial"/>
        <family val="2"/>
      </rPr>
      <t xml:space="preserve">(CCTV) </t>
    </r>
    <r>
      <rPr>
        <sz val="10"/>
        <color rgb="FF222222"/>
        <rFont val="맑은 고딕"/>
        <family val="3"/>
        <charset val="129"/>
      </rPr>
      <t>구현</t>
    </r>
    <phoneticPr fontId="17" type="noConversion"/>
  </si>
  <si>
    <t>진행중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</si>
</sst>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5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0"/>
      <color rgb="FF222222"/>
      <name val="돋움"/>
      <family val="3"/>
      <charset val="129"/>
    </font>
    <font>
      <sz val="10"/>
      <color rgb="FF222222"/>
      <name val="Arial"/>
      <family val="3"/>
      <charset val="129"/>
    </font>
    <font>
      <sz val="11"/>
      <color theme="1"/>
      <name val="돋움"/>
      <family val="3"/>
      <charset val="129"/>
    </font>
    <font>
      <b/>
      <sz val="10"/>
      <color rgb="FF222222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0" fillId="0" borderId="0" xfId="0"/>
    <xf numFmtId="0" fontId="1" fillId="11" borderId="5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0" fontId="43" fillId="0" borderId="0" xfId="0" applyFont="1"/>
    <xf numFmtId="0" fontId="4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44" fillId="11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42" fillId="0" borderId="2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47" t="s">
        <v>110</v>
      </c>
      <c r="C2" s="47"/>
    </row>
    <row r="4" spans="2:3" ht="19.5" customHeight="1">
      <c r="B4" s="14" t="s">
        <v>111</v>
      </c>
      <c r="C4" s="15" t="s">
        <v>112</v>
      </c>
    </row>
    <row r="5" spans="2:3" ht="36.950000000000003" customHeight="1">
      <c r="B5" s="1" t="s">
        <v>0</v>
      </c>
      <c r="C5" s="15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43" t="s">
        <v>116</v>
      </c>
      <c r="C9" s="44"/>
    </row>
    <row r="10" spans="2:3" ht="27">
      <c r="B10" s="4" t="s">
        <v>3</v>
      </c>
      <c r="C10" s="15" t="s">
        <v>117</v>
      </c>
    </row>
    <row r="11" spans="2:3" ht="40.5">
      <c r="B11" s="4" t="s">
        <v>118</v>
      </c>
      <c r="C11" s="15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5" t="s">
        <v>126</v>
      </c>
    </row>
    <row r="17" spans="2:3" ht="15" customHeight="1">
      <c r="B17" s="45" t="s">
        <v>5</v>
      </c>
      <c r="C17" s="46"/>
    </row>
    <row r="18" spans="2:3" ht="27.75" customHeight="1">
      <c r="B18" s="48" t="s">
        <v>127</v>
      </c>
      <c r="C18" s="49"/>
    </row>
    <row r="19" spans="2:3" ht="27.75" customHeight="1">
      <c r="B19" s="41" t="s">
        <v>7</v>
      </c>
      <c r="C19" s="42"/>
    </row>
    <row r="20" spans="2:3" ht="27.75" customHeight="1">
      <c r="B20" s="41" t="s">
        <v>8</v>
      </c>
      <c r="C20" s="42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topLeftCell="A7" zoomScaleNormal="100" workbookViewId="0">
      <selection activeCell="D17" sqref="D17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52" t="s">
        <v>9</v>
      </c>
      <c r="C2" s="53"/>
      <c r="D2" s="53"/>
      <c r="E2" s="53"/>
      <c r="F2" s="53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3" t="s">
        <v>144</v>
      </c>
      <c r="C5" s="24" t="s">
        <v>15</v>
      </c>
      <c r="D5" s="15" t="s">
        <v>141</v>
      </c>
      <c r="E5" s="25" t="s">
        <v>142</v>
      </c>
      <c r="F5" s="24" t="s">
        <v>16</v>
      </c>
    </row>
    <row r="6" spans="2:10" ht="129.75" customHeight="1">
      <c r="B6" s="23" t="s">
        <v>145</v>
      </c>
      <c r="C6" s="24" t="s">
        <v>17</v>
      </c>
      <c r="D6" s="15" t="s">
        <v>149</v>
      </c>
      <c r="E6" s="24" t="s">
        <v>18</v>
      </c>
      <c r="F6" s="24" t="s">
        <v>19</v>
      </c>
    </row>
    <row r="7" spans="2:10" ht="129.75" customHeight="1">
      <c r="B7" s="23" t="s">
        <v>20</v>
      </c>
      <c r="C7" s="5" t="s">
        <v>21</v>
      </c>
      <c r="D7" s="22" t="s">
        <v>147</v>
      </c>
      <c r="E7" s="5" t="s">
        <v>22</v>
      </c>
      <c r="F7" s="5" t="s">
        <v>23</v>
      </c>
      <c r="J7" s="27" t="s">
        <v>148</v>
      </c>
    </row>
    <row r="8" spans="2:10" ht="129.75" customHeight="1">
      <c r="B8" s="26" t="s">
        <v>146</v>
      </c>
      <c r="C8" s="5" t="s">
        <v>24</v>
      </c>
      <c r="D8" s="15" t="s">
        <v>143</v>
      </c>
      <c r="E8" s="24" t="s">
        <v>25</v>
      </c>
      <c r="F8" s="5" t="s">
        <v>26</v>
      </c>
    </row>
    <row r="9" spans="2:10" ht="14.1" customHeight="1"/>
    <row r="10" spans="2:10" ht="15" customHeight="1">
      <c r="B10" s="54" t="s">
        <v>128</v>
      </c>
      <c r="C10" s="51"/>
      <c r="D10" s="51"/>
      <c r="E10" s="51"/>
      <c r="F10" s="44"/>
    </row>
    <row r="11" spans="2:10" ht="24" customHeight="1">
      <c r="B11" s="5" t="s">
        <v>6</v>
      </c>
      <c r="C11" s="50" t="s">
        <v>129</v>
      </c>
      <c r="D11" s="51"/>
      <c r="E11" s="51"/>
      <c r="F11" s="51"/>
    </row>
    <row r="12" spans="2:10" ht="24" customHeight="1">
      <c r="B12" s="5" t="s">
        <v>6</v>
      </c>
      <c r="C12" s="50" t="s">
        <v>130</v>
      </c>
      <c r="D12" s="51"/>
      <c r="E12" s="51"/>
      <c r="F12" s="51"/>
    </row>
    <row r="13" spans="2:10" ht="24" customHeight="1">
      <c r="B13" s="5" t="s">
        <v>6</v>
      </c>
      <c r="C13" s="50" t="s">
        <v>131</v>
      </c>
      <c r="D13" s="51"/>
      <c r="E13" s="51"/>
      <c r="F13" s="51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49"/>
  <sheetViews>
    <sheetView showGridLines="0" topLeftCell="A13" zoomScaleNormal="100" workbookViewId="0">
      <selection activeCell="C30" sqref="C30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9.42578125" bestFit="1" customWidth="1"/>
    <col min="6" max="6" width="35.42578125" customWidth="1"/>
  </cols>
  <sheetData>
    <row r="2" spans="2:6" ht="30" customHeight="1">
      <c r="B2" s="55" t="s">
        <v>27</v>
      </c>
      <c r="C2" s="53"/>
      <c r="D2" s="53"/>
      <c r="E2" s="53"/>
      <c r="F2" s="53"/>
    </row>
    <row r="3" spans="2:6" ht="28.35" customHeight="1">
      <c r="B3" s="56" t="s">
        <v>140</v>
      </c>
      <c r="C3" s="51"/>
      <c r="D3" s="51"/>
      <c r="E3" s="51"/>
      <c r="F3" s="44"/>
    </row>
    <row r="4" spans="2:6" ht="35.65" customHeight="1">
      <c r="B4" s="8" t="s">
        <v>28</v>
      </c>
      <c r="C4" s="8" t="s">
        <v>29</v>
      </c>
      <c r="D4" s="8" t="s">
        <v>30</v>
      </c>
      <c r="E4" s="16" t="s">
        <v>132</v>
      </c>
      <c r="F4" s="8" t="s">
        <v>31</v>
      </c>
    </row>
    <row r="5" spans="2:6" ht="15" customHeight="1">
      <c r="B5" s="9" t="s">
        <v>32</v>
      </c>
      <c r="C5" s="9"/>
      <c r="D5" s="9"/>
      <c r="E5" s="9"/>
      <c r="F5" s="9"/>
    </row>
    <row r="6" spans="2:6" ht="30" customHeight="1">
      <c r="B6" s="3" t="s">
        <v>28</v>
      </c>
      <c r="C6" s="2" t="s">
        <v>29</v>
      </c>
      <c r="D6" s="2" t="s">
        <v>30</v>
      </c>
      <c r="E6" s="2" t="s">
        <v>157</v>
      </c>
      <c r="F6" s="2" t="s">
        <v>158</v>
      </c>
    </row>
    <row r="7" spans="2:6" ht="30" customHeight="1">
      <c r="B7" s="3" t="s">
        <v>159</v>
      </c>
      <c r="C7" s="2" t="s">
        <v>160</v>
      </c>
      <c r="D7" s="2" t="s">
        <v>161</v>
      </c>
      <c r="E7" s="2" t="s">
        <v>162</v>
      </c>
      <c r="F7" s="2" t="s">
        <v>163</v>
      </c>
    </row>
    <row r="8" spans="2:6" ht="30" customHeight="1">
      <c r="B8" s="3" t="s">
        <v>159</v>
      </c>
      <c r="C8" s="2" t="s">
        <v>150</v>
      </c>
      <c r="D8" s="2" t="s">
        <v>164</v>
      </c>
      <c r="E8" s="2" t="s">
        <v>165</v>
      </c>
      <c r="F8" s="2" t="s">
        <v>166</v>
      </c>
    </row>
    <row r="9" spans="2:6" ht="30" customHeight="1">
      <c r="B9" s="3" t="s">
        <v>159</v>
      </c>
      <c r="C9" s="2" t="s">
        <v>167</v>
      </c>
      <c r="D9" s="2" t="s">
        <v>168</v>
      </c>
      <c r="E9" s="2" t="s">
        <v>169</v>
      </c>
      <c r="F9" s="2" t="s">
        <v>170</v>
      </c>
    </row>
    <row r="10" spans="2:6" ht="30" customHeight="1">
      <c r="B10" s="3" t="s">
        <v>159</v>
      </c>
      <c r="C10" s="2" t="s">
        <v>171</v>
      </c>
      <c r="D10" s="2" t="s">
        <v>172</v>
      </c>
      <c r="E10" s="2" t="s">
        <v>173</v>
      </c>
      <c r="F10" s="2" t="s">
        <v>174</v>
      </c>
    </row>
    <row r="11" spans="2:6" ht="30" customHeight="1">
      <c r="B11" s="3" t="s">
        <v>159</v>
      </c>
      <c r="C11" s="2" t="s">
        <v>175</v>
      </c>
      <c r="D11" s="2" t="s">
        <v>176</v>
      </c>
      <c r="E11" s="2" t="s">
        <v>177</v>
      </c>
      <c r="F11" s="2" t="s">
        <v>178</v>
      </c>
    </row>
    <row r="12" spans="2:6" ht="30" customHeight="1">
      <c r="B12" s="3" t="s">
        <v>159</v>
      </c>
      <c r="C12" s="2" t="s">
        <v>179</v>
      </c>
      <c r="D12" s="2" t="s">
        <v>180</v>
      </c>
      <c r="E12" s="2" t="s">
        <v>181</v>
      </c>
      <c r="F12" s="2" t="s">
        <v>182</v>
      </c>
    </row>
    <row r="13" spans="2:6" ht="30" customHeight="1">
      <c r="B13" s="3" t="s">
        <v>159</v>
      </c>
      <c r="C13" s="2" t="s">
        <v>183</v>
      </c>
      <c r="D13" s="2" t="s">
        <v>184</v>
      </c>
      <c r="E13" s="2" t="s">
        <v>185</v>
      </c>
      <c r="F13" s="2" t="s">
        <v>186</v>
      </c>
    </row>
    <row r="14" spans="2:6" ht="30" customHeight="1">
      <c r="B14" s="3" t="s">
        <v>159</v>
      </c>
      <c r="C14" s="2" t="s">
        <v>187</v>
      </c>
      <c r="D14" s="2" t="s">
        <v>188</v>
      </c>
      <c r="E14" s="2" t="s">
        <v>189</v>
      </c>
      <c r="F14" s="2" t="s">
        <v>190</v>
      </c>
    </row>
    <row r="15" spans="2:6" ht="30" customHeight="1">
      <c r="B15" s="3" t="s">
        <v>191</v>
      </c>
      <c r="C15" s="2" t="s">
        <v>192</v>
      </c>
      <c r="D15" s="2" t="s">
        <v>193</v>
      </c>
      <c r="E15" s="2" t="s">
        <v>194</v>
      </c>
      <c r="F15" s="2" t="s">
        <v>195</v>
      </c>
    </row>
    <row r="16" spans="2:6" ht="30" customHeight="1">
      <c r="B16" s="3" t="s">
        <v>191</v>
      </c>
      <c r="C16" s="2" t="s">
        <v>152</v>
      </c>
      <c r="D16" s="2" t="s">
        <v>196</v>
      </c>
      <c r="E16" s="2" t="s">
        <v>197</v>
      </c>
      <c r="F16" s="2" t="s">
        <v>198</v>
      </c>
    </row>
    <row r="17" spans="2:6" ht="30" customHeight="1">
      <c r="B17" s="3" t="s">
        <v>191</v>
      </c>
      <c r="C17" s="2" t="s">
        <v>199</v>
      </c>
      <c r="D17" s="2" t="s">
        <v>200</v>
      </c>
      <c r="E17" s="2" t="s">
        <v>201</v>
      </c>
      <c r="F17" s="2" t="s">
        <v>153</v>
      </c>
    </row>
    <row r="18" spans="2:6" ht="30" customHeight="1">
      <c r="B18" s="3" t="s">
        <v>191</v>
      </c>
      <c r="C18" s="2" t="s">
        <v>202</v>
      </c>
      <c r="D18" s="2" t="s">
        <v>203</v>
      </c>
      <c r="E18" s="2" t="s">
        <v>204</v>
      </c>
      <c r="F18" s="2" t="s">
        <v>205</v>
      </c>
    </row>
    <row r="19" spans="2:6" ht="30" customHeight="1">
      <c r="B19" s="3" t="s">
        <v>206</v>
      </c>
      <c r="C19" s="2" t="s">
        <v>207</v>
      </c>
      <c r="D19" s="2" t="s">
        <v>208</v>
      </c>
      <c r="E19" s="2" t="s">
        <v>209</v>
      </c>
      <c r="F19" s="2" t="s">
        <v>151</v>
      </c>
    </row>
    <row r="20" spans="2:6" ht="30" customHeight="1">
      <c r="B20" s="3" t="s">
        <v>206</v>
      </c>
      <c r="C20" s="2" t="s">
        <v>210</v>
      </c>
      <c r="D20" s="2" t="s">
        <v>211</v>
      </c>
      <c r="E20" s="2" t="s">
        <v>212</v>
      </c>
      <c r="F20" s="2" t="s">
        <v>154</v>
      </c>
    </row>
    <row r="21" spans="2:6" ht="30" customHeight="1">
      <c r="B21" s="3" t="s">
        <v>213</v>
      </c>
      <c r="C21" s="2" t="s">
        <v>214</v>
      </c>
      <c r="D21" s="2" t="s">
        <v>215</v>
      </c>
      <c r="E21" s="2" t="s">
        <v>216</v>
      </c>
      <c r="F21" s="2" t="s">
        <v>217</v>
      </c>
    </row>
    <row r="22" spans="2:6" ht="30" customHeight="1">
      <c r="B22" s="3" t="s">
        <v>213</v>
      </c>
      <c r="C22" s="2" t="s">
        <v>218</v>
      </c>
      <c r="D22" s="2" t="s">
        <v>219</v>
      </c>
      <c r="E22" s="2" t="s">
        <v>220</v>
      </c>
      <c r="F22" s="2" t="s">
        <v>221</v>
      </c>
    </row>
    <row r="23" spans="2:6" ht="33" customHeight="1">
      <c r="B23" s="3" t="s">
        <v>213</v>
      </c>
      <c r="C23" s="2" t="s">
        <v>222</v>
      </c>
      <c r="D23" s="2" t="s">
        <v>223</v>
      </c>
      <c r="E23" s="2" t="s">
        <v>224</v>
      </c>
      <c r="F23" s="2" t="s">
        <v>225</v>
      </c>
    </row>
    <row r="24" spans="2:6" ht="25.5">
      <c r="B24" s="3" t="s">
        <v>213</v>
      </c>
      <c r="C24" s="2" t="s">
        <v>155</v>
      </c>
      <c r="D24" s="2" t="s">
        <v>226</v>
      </c>
      <c r="E24" s="2" t="s">
        <v>227</v>
      </c>
      <c r="F24" s="2" t="s">
        <v>228</v>
      </c>
    </row>
    <row r="25" spans="2:6" ht="27.75" customHeight="1">
      <c r="B25" s="3" t="s">
        <v>213</v>
      </c>
      <c r="C25" s="2" t="s">
        <v>156</v>
      </c>
      <c r="D25" s="2" t="s">
        <v>229</v>
      </c>
      <c r="E25" s="2" t="s">
        <v>230</v>
      </c>
      <c r="F25" s="2" t="s">
        <v>231</v>
      </c>
    </row>
    <row r="26" spans="2:6">
      <c r="B26" s="28"/>
      <c r="C26" s="28"/>
      <c r="D26" s="28"/>
    </row>
    <row r="30" spans="2:6">
      <c r="B30" s="28"/>
      <c r="C30" s="28"/>
      <c r="D30" s="28"/>
      <c r="E30" s="28"/>
      <c r="F30" s="28"/>
    </row>
    <row r="31" spans="2:6">
      <c r="B31" s="28"/>
      <c r="C31" s="28"/>
      <c r="D31" s="28"/>
      <c r="E31" s="28"/>
      <c r="F31" s="28"/>
    </row>
    <row r="32" spans="2:6">
      <c r="B32" s="28"/>
      <c r="C32" s="28"/>
      <c r="D32" s="28"/>
      <c r="E32" s="28"/>
      <c r="F32" s="28"/>
    </row>
    <row r="33" spans="2:6">
      <c r="B33" s="28"/>
      <c r="C33" s="28"/>
      <c r="D33" s="28"/>
      <c r="E33" s="28"/>
      <c r="F33" s="28"/>
    </row>
    <row r="34" spans="2:6">
      <c r="B34" s="28"/>
      <c r="C34" s="28"/>
      <c r="D34" s="28"/>
      <c r="E34" s="28"/>
      <c r="F34" s="28"/>
    </row>
    <row r="35" spans="2:6">
      <c r="B35" s="28"/>
      <c r="C35" s="28"/>
      <c r="D35" s="28"/>
      <c r="E35" s="28"/>
      <c r="F35" s="28"/>
    </row>
    <row r="36" spans="2:6">
      <c r="B36" s="28"/>
      <c r="C36" s="28"/>
      <c r="D36" s="28"/>
      <c r="E36" s="28"/>
      <c r="F36" s="28"/>
    </row>
    <row r="37" spans="2:6">
      <c r="B37" s="28"/>
      <c r="C37" s="28"/>
      <c r="D37" s="28"/>
      <c r="E37" s="28"/>
      <c r="F37" s="28"/>
    </row>
    <row r="38" spans="2:6">
      <c r="B38" s="28"/>
      <c r="C38" s="28"/>
      <c r="D38" s="28"/>
      <c r="E38" s="28"/>
      <c r="F38" s="28"/>
    </row>
    <row r="39" spans="2:6">
      <c r="B39" s="28"/>
      <c r="C39" s="28"/>
      <c r="D39" s="28"/>
      <c r="E39" s="28"/>
      <c r="F39" s="28"/>
    </row>
    <row r="40" spans="2:6">
      <c r="B40" s="28"/>
      <c r="C40" s="28"/>
      <c r="D40" s="28"/>
      <c r="E40" s="28"/>
      <c r="F40" s="28"/>
    </row>
    <row r="41" spans="2:6">
      <c r="B41" s="28"/>
      <c r="C41" s="28"/>
      <c r="D41" s="28"/>
      <c r="E41" s="28"/>
      <c r="F41" s="28"/>
    </row>
    <row r="42" spans="2:6">
      <c r="B42" s="28"/>
      <c r="C42" s="28"/>
      <c r="D42" s="28"/>
      <c r="E42" s="28"/>
      <c r="F42" s="28"/>
    </row>
    <row r="43" spans="2:6">
      <c r="B43" s="28"/>
      <c r="C43" s="28"/>
      <c r="D43" s="28"/>
      <c r="E43" s="28"/>
      <c r="F43" s="28"/>
    </row>
    <row r="44" spans="2:6">
      <c r="B44" s="28"/>
      <c r="C44" s="28"/>
      <c r="D44" s="28"/>
      <c r="E44" s="28"/>
      <c r="F44" s="28"/>
    </row>
    <row r="45" spans="2:6">
      <c r="B45" s="28"/>
      <c r="C45" s="28"/>
      <c r="D45" s="28"/>
      <c r="E45" s="28"/>
      <c r="F45" s="28"/>
    </row>
    <row r="46" spans="2:6">
      <c r="B46" s="28"/>
      <c r="C46" s="28"/>
      <c r="D46" s="28"/>
      <c r="E46" s="28"/>
      <c r="F46" s="28"/>
    </row>
    <row r="47" spans="2:6">
      <c r="B47" s="28"/>
      <c r="C47" s="28"/>
      <c r="D47" s="28"/>
      <c r="E47" s="28"/>
      <c r="F47" s="28"/>
    </row>
    <row r="48" spans="2:6">
      <c r="B48" s="28"/>
      <c r="C48" s="28"/>
      <c r="D48" s="28"/>
      <c r="E48" s="28"/>
      <c r="F48" s="28"/>
    </row>
    <row r="49" spans="2:6">
      <c r="B49" s="28"/>
      <c r="C49" s="28"/>
      <c r="D49" s="28"/>
      <c r="E49" s="28"/>
      <c r="F49" s="28"/>
    </row>
  </sheetData>
  <mergeCells count="2">
    <mergeCell ref="B2:F2"/>
    <mergeCell ref="B3:F3"/>
  </mergeCells>
  <phoneticPr fontId="17" type="noConversion"/>
  <dataValidations count="1">
    <dataValidation type="list" allowBlank="1" sqref="B6:B25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21"/>
  <sheetViews>
    <sheetView showGridLines="0" topLeftCell="A10" zoomScaleNormal="100" workbookViewId="0">
      <selection activeCell="C10" sqref="C10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52" t="s">
        <v>33</v>
      </c>
      <c r="C2" s="53"/>
      <c r="D2" s="53"/>
      <c r="E2" s="53"/>
      <c r="F2" s="53"/>
      <c r="G2" s="53"/>
      <c r="H2" s="53"/>
    </row>
    <row r="3" spans="2:8" ht="72.400000000000006" customHeight="1">
      <c r="B3" s="57" t="s">
        <v>134</v>
      </c>
      <c r="C3" s="51"/>
      <c r="D3" s="51"/>
      <c r="E3" s="51"/>
      <c r="F3" s="51"/>
      <c r="G3" s="51"/>
      <c r="H3" s="44"/>
    </row>
    <row r="4" spans="2:8" ht="18" customHeight="1">
      <c r="B4" s="58" t="s">
        <v>34</v>
      </c>
      <c r="C4" s="51"/>
      <c r="D4" s="51"/>
      <c r="E4" s="51"/>
      <c r="F4" s="51"/>
      <c r="G4" s="51"/>
      <c r="H4" s="44"/>
    </row>
    <row r="5" spans="2:8" ht="31.5" customHeight="1">
      <c r="B5" s="10" t="s">
        <v>35</v>
      </c>
      <c r="C5" s="10" t="s">
        <v>36</v>
      </c>
      <c r="D5" s="18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8" ht="33.75" customHeight="1">
      <c r="B6" s="12" t="s">
        <v>150</v>
      </c>
      <c r="C6" s="12" t="s">
        <v>258</v>
      </c>
      <c r="D6" s="5">
        <v>3</v>
      </c>
      <c r="E6" s="5">
        <v>5</v>
      </c>
      <c r="F6" s="5">
        <v>5</v>
      </c>
      <c r="G6" s="5">
        <f t="shared" ref="G6:G19" si="0">IF(OR(E6="",F6=""),"",E6*F6*2)</f>
        <v>50</v>
      </c>
      <c r="H6" s="5" t="s">
        <v>259</v>
      </c>
    </row>
    <row r="7" spans="2:8" s="28" customFormat="1" ht="38.25">
      <c r="B7" s="39" t="s">
        <v>273</v>
      </c>
      <c r="C7" s="12" t="s">
        <v>274</v>
      </c>
      <c r="D7" s="5">
        <v>4</v>
      </c>
      <c r="E7" s="5">
        <v>4</v>
      </c>
      <c r="F7" s="5">
        <v>5</v>
      </c>
      <c r="G7" s="5">
        <f t="shared" si="0"/>
        <v>40</v>
      </c>
      <c r="H7" s="38" t="s">
        <v>266</v>
      </c>
    </row>
    <row r="8" spans="2:8" s="28" customFormat="1" ht="33.75" customHeight="1">
      <c r="B8" s="12" t="s">
        <v>192</v>
      </c>
      <c r="C8" s="12" t="s">
        <v>260</v>
      </c>
      <c r="D8" s="5">
        <v>2</v>
      </c>
      <c r="E8" s="5">
        <v>5</v>
      </c>
      <c r="F8" s="5">
        <v>3</v>
      </c>
      <c r="G8" s="5">
        <f t="shared" si="0"/>
        <v>30</v>
      </c>
      <c r="H8" s="5" t="s">
        <v>261</v>
      </c>
    </row>
    <row r="9" spans="2:8" s="28" customFormat="1" ht="33.75" customHeight="1">
      <c r="B9" s="12" t="s">
        <v>152</v>
      </c>
      <c r="C9" s="12" t="s">
        <v>262</v>
      </c>
      <c r="D9" s="5">
        <v>1</v>
      </c>
      <c r="E9" s="5">
        <v>5</v>
      </c>
      <c r="F9" s="5">
        <v>3</v>
      </c>
      <c r="G9" s="5">
        <f t="shared" si="0"/>
        <v>30</v>
      </c>
      <c r="H9" s="38" t="s">
        <v>263</v>
      </c>
    </row>
    <row r="10" spans="2:8" s="28" customFormat="1" ht="33.75" customHeight="1">
      <c r="B10" s="12" t="s">
        <v>264</v>
      </c>
      <c r="C10" s="12" t="s">
        <v>265</v>
      </c>
      <c r="D10" s="5">
        <v>1</v>
      </c>
      <c r="E10" s="5">
        <v>5</v>
      </c>
      <c r="F10" s="5">
        <v>3</v>
      </c>
      <c r="G10" s="5">
        <f t="shared" si="0"/>
        <v>30</v>
      </c>
      <c r="H10" s="38" t="s">
        <v>263</v>
      </c>
    </row>
    <row r="11" spans="2:8" s="28" customFormat="1" ht="33.75" customHeight="1">
      <c r="B11" s="12" t="s">
        <v>202</v>
      </c>
      <c r="C11" s="12" t="s">
        <v>267</v>
      </c>
      <c r="D11" s="5">
        <v>2</v>
      </c>
      <c r="E11" s="5">
        <v>4</v>
      </c>
      <c r="F11" s="5">
        <v>4</v>
      </c>
      <c r="G11" s="5">
        <f t="shared" si="0"/>
        <v>32</v>
      </c>
      <c r="H11" s="38" t="s">
        <v>266</v>
      </c>
    </row>
    <row r="12" spans="2:8" s="28" customFormat="1" ht="33.75" customHeight="1">
      <c r="B12" s="12" t="s">
        <v>207</v>
      </c>
      <c r="C12" s="12" t="s">
        <v>268</v>
      </c>
      <c r="D12" s="5">
        <v>1</v>
      </c>
      <c r="E12" s="5">
        <v>5</v>
      </c>
      <c r="F12" s="5">
        <v>2</v>
      </c>
      <c r="G12" s="5">
        <f t="shared" si="0"/>
        <v>20</v>
      </c>
      <c r="H12" s="38" t="s">
        <v>269</v>
      </c>
    </row>
    <row r="13" spans="2:8" ht="33.75" customHeight="1">
      <c r="B13" s="12" t="s">
        <v>210</v>
      </c>
      <c r="C13" s="12" t="s">
        <v>270</v>
      </c>
      <c r="D13" s="5">
        <v>2</v>
      </c>
      <c r="E13" s="5">
        <v>5</v>
      </c>
      <c r="F13" s="5">
        <v>2</v>
      </c>
      <c r="G13" s="5">
        <f t="shared" si="0"/>
        <v>20</v>
      </c>
      <c r="H13" s="38" t="s">
        <v>269</v>
      </c>
    </row>
    <row r="14" spans="2:8" ht="33.75" customHeight="1">
      <c r="B14" s="12" t="s">
        <v>271</v>
      </c>
      <c r="C14" s="12" t="s">
        <v>272</v>
      </c>
      <c r="D14" s="5">
        <v>3</v>
      </c>
      <c r="E14" s="5">
        <v>4</v>
      </c>
      <c r="F14" s="5">
        <v>5</v>
      </c>
      <c r="G14" s="5">
        <f t="shared" si="0"/>
        <v>40</v>
      </c>
      <c r="H14" s="38" t="s">
        <v>266</v>
      </c>
    </row>
    <row r="15" spans="2:8" ht="33.75" customHeight="1">
      <c r="B15" s="12" t="s">
        <v>275</v>
      </c>
      <c r="C15" s="12" t="s">
        <v>276</v>
      </c>
      <c r="D15" s="5">
        <v>2</v>
      </c>
      <c r="E15" s="5">
        <v>5</v>
      </c>
      <c r="F15" s="5">
        <v>3</v>
      </c>
      <c r="G15" s="5">
        <f t="shared" si="0"/>
        <v>30</v>
      </c>
      <c r="H15" s="38" t="s">
        <v>266</v>
      </c>
    </row>
    <row r="16" spans="2:8" ht="33.75" customHeight="1">
      <c r="B16" s="12"/>
      <c r="C16" s="2"/>
      <c r="D16" s="5"/>
      <c r="E16" s="5"/>
      <c r="F16" s="5"/>
      <c r="G16" s="5" t="str">
        <f t="shared" si="0"/>
        <v/>
      </c>
      <c r="H16" s="5"/>
    </row>
    <row r="17" spans="2:8" ht="33.75" customHeight="1">
      <c r="B17" s="12"/>
      <c r="C17" s="3"/>
      <c r="D17" s="5"/>
      <c r="E17" s="5"/>
      <c r="F17" s="5"/>
      <c r="G17" s="5" t="str">
        <f t="shared" si="0"/>
        <v/>
      </c>
      <c r="H17" s="5"/>
    </row>
    <row r="18" spans="2:8" ht="33.75" customHeight="1">
      <c r="B18" s="12"/>
      <c r="C18" s="3"/>
      <c r="D18" s="5"/>
      <c r="E18" s="5"/>
      <c r="F18" s="5"/>
      <c r="G18" s="5" t="str">
        <f t="shared" si="0"/>
        <v/>
      </c>
      <c r="H18" s="5"/>
    </row>
    <row r="19" spans="2:8" ht="33.75" customHeight="1">
      <c r="B19" s="12"/>
      <c r="C19" s="2"/>
      <c r="D19" s="5"/>
      <c r="E19" s="5"/>
      <c r="F19" s="5"/>
      <c r="G19" s="5" t="str">
        <f t="shared" si="0"/>
        <v/>
      </c>
      <c r="H19" s="5"/>
    </row>
    <row r="21" spans="2:8" ht="118.7" customHeight="1">
      <c r="B21" s="17" t="s">
        <v>133</v>
      </c>
      <c r="C21" s="59" t="s">
        <v>277</v>
      </c>
      <c r="D21" s="60"/>
      <c r="E21" s="60"/>
      <c r="F21" s="60"/>
      <c r="G21" s="60"/>
      <c r="H21" s="46"/>
    </row>
  </sheetData>
  <mergeCells count="4">
    <mergeCell ref="B3:H3"/>
    <mergeCell ref="B2:H2"/>
    <mergeCell ref="B4:H4"/>
    <mergeCell ref="C21:H21"/>
  </mergeCells>
  <phoneticPr fontId="17" type="noConversion"/>
  <conditionalFormatting sqref="G6:G19">
    <cfRule type="expression" dxfId="1" priority="2">
      <formula>AND(G6&lt;&gt;"",G6&gt;=32)</formula>
    </cfRule>
  </conditionalFormatting>
  <dataValidations count="2">
    <dataValidation type="list" allowBlank="1" sqref="E6:F19" xr:uid="{00000000-0002-0000-0300-000000000000}">
      <formula1>"1,2,3,4,5"</formula1>
      <formula2>0</formula2>
    </dataValidation>
    <dataValidation type="list" allowBlank="1" sqref="H6:H19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2:C35"/>
  <sheetViews>
    <sheetView showGridLines="0" zoomScaleNormal="100" workbookViewId="0">
      <selection activeCell="C7" sqref="C7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55" t="s">
        <v>42</v>
      </c>
      <c r="C2" s="53"/>
    </row>
    <row r="3" spans="2:3" ht="18" customHeight="1">
      <c r="B3" s="65" t="s">
        <v>43</v>
      </c>
      <c r="C3" s="44"/>
    </row>
    <row r="4" spans="2:3" ht="30" customHeight="1">
      <c r="B4" s="1" t="s">
        <v>44</v>
      </c>
      <c r="C4" s="36" t="s">
        <v>232</v>
      </c>
    </row>
    <row r="5" spans="2:3" ht="30" customHeight="1">
      <c r="B5" s="1" t="s">
        <v>45</v>
      </c>
      <c r="C5" s="15" t="s">
        <v>233</v>
      </c>
    </row>
    <row r="6" spans="2:3" ht="51">
      <c r="B6" s="1" t="s">
        <v>46</v>
      </c>
      <c r="C6" s="15" t="s">
        <v>234</v>
      </c>
    </row>
    <row r="7" spans="2:3" ht="63.75">
      <c r="B7" s="1" t="s">
        <v>47</v>
      </c>
      <c r="C7" s="15" t="s">
        <v>235</v>
      </c>
    </row>
    <row r="9" spans="2:3" ht="15" customHeight="1">
      <c r="B9" s="63" t="s">
        <v>48</v>
      </c>
      <c r="C9" s="64"/>
    </row>
    <row r="10" spans="2:3" ht="25.5" customHeight="1">
      <c r="B10" s="61" t="s">
        <v>236</v>
      </c>
      <c r="C10" s="49"/>
    </row>
    <row r="11" spans="2:3" ht="25.5" customHeight="1">
      <c r="B11" s="48" t="s">
        <v>237</v>
      </c>
      <c r="C11" s="49"/>
    </row>
    <row r="12" spans="2:3" ht="25.5" customHeight="1">
      <c r="B12" s="61" t="s">
        <v>238</v>
      </c>
      <c r="C12" s="49"/>
    </row>
    <row r="13" spans="2:3" ht="25.5" customHeight="1">
      <c r="B13" s="48" t="s">
        <v>239</v>
      </c>
      <c r="C13" s="49"/>
    </row>
    <row r="14" spans="2:3" s="28" customFormat="1" ht="25.5" customHeight="1">
      <c r="B14" s="48" t="s">
        <v>240</v>
      </c>
      <c r="C14" s="49"/>
    </row>
    <row r="15" spans="2:3" s="28" customFormat="1" ht="25.5" customHeight="1">
      <c r="B15" s="61" t="s">
        <v>241</v>
      </c>
      <c r="C15" s="49"/>
    </row>
    <row r="16" spans="2:3" s="28" customFormat="1" ht="25.5" customHeight="1">
      <c r="B16" s="48" t="s">
        <v>242</v>
      </c>
      <c r="C16" s="49"/>
    </row>
    <row r="17" spans="1:3" s="28" customFormat="1" ht="25.5" customHeight="1">
      <c r="A17" s="37"/>
      <c r="B17" s="48" t="s">
        <v>243</v>
      </c>
      <c r="C17" s="49"/>
    </row>
    <row r="18" spans="1:3" s="28" customFormat="1" ht="25.5" customHeight="1">
      <c r="B18" s="61" t="s">
        <v>244</v>
      </c>
      <c r="C18" s="49"/>
    </row>
    <row r="20" spans="1:3" ht="15" customHeight="1">
      <c r="B20" s="68" t="s">
        <v>49</v>
      </c>
      <c r="C20" s="69"/>
    </row>
    <row r="21" spans="1:3" ht="25.5" customHeight="1">
      <c r="B21" s="61" t="s">
        <v>245</v>
      </c>
      <c r="C21" s="49"/>
    </row>
    <row r="22" spans="1:3" ht="25.5" customHeight="1">
      <c r="B22" s="61" t="s">
        <v>246</v>
      </c>
      <c r="C22" s="49"/>
    </row>
    <row r="23" spans="1:3" s="28" customFormat="1" ht="25.5" customHeight="1">
      <c r="B23" s="61" t="s">
        <v>247</v>
      </c>
      <c r="C23" s="49"/>
    </row>
    <row r="24" spans="1:3" s="28" customFormat="1" ht="25.5" customHeight="1">
      <c r="B24" s="61" t="s">
        <v>248</v>
      </c>
      <c r="C24" s="49"/>
    </row>
    <row r="25" spans="1:3" s="28" customFormat="1" ht="25.5" customHeight="1">
      <c r="B25" s="61" t="s">
        <v>250</v>
      </c>
      <c r="C25" s="62"/>
    </row>
    <row r="26" spans="1:3" ht="25.5" customHeight="1">
      <c r="B26" s="61" t="s">
        <v>249</v>
      </c>
      <c r="C26" s="49"/>
    </row>
    <row r="28" spans="1:3" ht="15" customHeight="1">
      <c r="B28" s="66" t="s">
        <v>50</v>
      </c>
      <c r="C28" s="67"/>
    </row>
    <row r="29" spans="1:3" ht="25.5" customHeight="1">
      <c r="B29" s="61" t="s">
        <v>251</v>
      </c>
      <c r="C29" s="49"/>
    </row>
    <row r="30" spans="1:3" ht="25.5" customHeight="1">
      <c r="B30" s="61" t="s">
        <v>252</v>
      </c>
      <c r="C30" s="49"/>
    </row>
    <row r="31" spans="1:3" s="28" customFormat="1" ht="25.5" customHeight="1">
      <c r="B31" s="61" t="s">
        <v>254</v>
      </c>
      <c r="C31" s="62"/>
    </row>
    <row r="32" spans="1:3" s="28" customFormat="1" ht="25.5" customHeight="1">
      <c r="B32" s="61" t="s">
        <v>255</v>
      </c>
      <c r="C32" s="62"/>
    </row>
    <row r="33" spans="2:3" s="28" customFormat="1" ht="25.5" customHeight="1">
      <c r="B33" s="61" t="s">
        <v>256</v>
      </c>
      <c r="C33" s="62"/>
    </row>
    <row r="34" spans="2:3" s="28" customFormat="1" ht="25.5" customHeight="1">
      <c r="B34" s="61" t="s">
        <v>257</v>
      </c>
      <c r="C34" s="62"/>
    </row>
    <row r="35" spans="2:3" ht="25.5" customHeight="1">
      <c r="B35" s="61" t="s">
        <v>253</v>
      </c>
      <c r="C35" s="49"/>
    </row>
  </sheetData>
  <mergeCells count="27">
    <mergeCell ref="B9:C9"/>
    <mergeCell ref="B29:C29"/>
    <mergeCell ref="B30:C30"/>
    <mergeCell ref="B3:C3"/>
    <mergeCell ref="B2:C2"/>
    <mergeCell ref="B10:C10"/>
    <mergeCell ref="B11:C11"/>
    <mergeCell ref="B12:C12"/>
    <mergeCell ref="B25:C25"/>
    <mergeCell ref="B13:C13"/>
    <mergeCell ref="B21:C21"/>
    <mergeCell ref="B22:C22"/>
    <mergeCell ref="B26:C26"/>
    <mergeCell ref="B28:C28"/>
    <mergeCell ref="B20:C20"/>
    <mergeCell ref="B15:C15"/>
    <mergeCell ref="B16:C16"/>
    <mergeCell ref="B17:C17"/>
    <mergeCell ref="B18:C18"/>
    <mergeCell ref="B14:C14"/>
    <mergeCell ref="B23:C23"/>
    <mergeCell ref="B35:C35"/>
    <mergeCell ref="B24:C24"/>
    <mergeCell ref="B31:C31"/>
    <mergeCell ref="B32:C32"/>
    <mergeCell ref="B33:C33"/>
    <mergeCell ref="B34:C34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tabSelected="1" topLeftCell="A2" zoomScaleNormal="100" workbookViewId="0">
      <selection activeCell="T23" sqref="T23:T24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32.285156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83" t="s">
        <v>51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2:13" ht="79.7" customHeight="1">
      <c r="B3" s="82" t="s">
        <v>135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44"/>
    </row>
    <row r="4" spans="2:13" ht="25.5" customHeight="1">
      <c r="B4" s="13" t="s">
        <v>52</v>
      </c>
      <c r="C4" s="11" t="s">
        <v>53</v>
      </c>
      <c r="D4" s="11" t="s">
        <v>54</v>
      </c>
      <c r="E4" s="11" t="s">
        <v>55</v>
      </c>
      <c r="F4" s="21" t="s">
        <v>138</v>
      </c>
      <c r="G4" s="21" t="s">
        <v>139</v>
      </c>
      <c r="H4" s="18" t="s">
        <v>56</v>
      </c>
      <c r="I4" s="20" t="s">
        <v>137</v>
      </c>
      <c r="J4" s="11" t="s">
        <v>57</v>
      </c>
      <c r="K4" s="19">
        <v>1</v>
      </c>
      <c r="L4" s="19">
        <v>2</v>
      </c>
      <c r="M4" s="19">
        <v>3</v>
      </c>
    </row>
    <row r="5" spans="2:13" ht="30" customHeight="1">
      <c r="B5" s="5">
        <v>1</v>
      </c>
      <c r="C5" s="34" t="s">
        <v>58</v>
      </c>
      <c r="D5" s="2" t="s">
        <v>279</v>
      </c>
      <c r="E5" s="2" t="s">
        <v>280</v>
      </c>
      <c r="F5" s="5">
        <v>1</v>
      </c>
      <c r="G5" s="5">
        <v>1</v>
      </c>
      <c r="H5" s="5">
        <v>1</v>
      </c>
      <c r="I5" s="5">
        <v>100</v>
      </c>
      <c r="J5" s="5" t="s">
        <v>297</v>
      </c>
      <c r="K5" s="3"/>
      <c r="L5" s="3"/>
      <c r="M5" s="3"/>
    </row>
    <row r="6" spans="2:13" ht="30" customHeight="1">
      <c r="B6" s="5">
        <v>2</v>
      </c>
      <c r="C6" s="34" t="s">
        <v>58</v>
      </c>
      <c r="D6" s="2" t="s">
        <v>281</v>
      </c>
      <c r="E6" s="2" t="s">
        <v>293</v>
      </c>
      <c r="F6" s="5">
        <v>1</v>
      </c>
      <c r="G6" s="5">
        <v>1</v>
      </c>
      <c r="H6" s="5">
        <v>1</v>
      </c>
      <c r="I6" s="5">
        <v>100</v>
      </c>
      <c r="J6" s="5" t="s">
        <v>297</v>
      </c>
      <c r="K6" s="3"/>
      <c r="L6" s="3"/>
      <c r="M6" s="3"/>
    </row>
    <row r="7" spans="2:13" ht="30" customHeight="1">
      <c r="B7" s="5">
        <v>3</v>
      </c>
      <c r="C7" s="35" t="s">
        <v>59</v>
      </c>
      <c r="D7" s="2" t="s">
        <v>282</v>
      </c>
      <c r="E7" s="2" t="s">
        <v>294</v>
      </c>
      <c r="F7" s="5">
        <v>1</v>
      </c>
      <c r="G7" s="5">
        <v>1</v>
      </c>
      <c r="H7" s="5">
        <v>1</v>
      </c>
      <c r="I7" s="5">
        <v>100</v>
      </c>
      <c r="J7" s="5" t="s">
        <v>297</v>
      </c>
      <c r="K7" s="3"/>
      <c r="L7" s="3"/>
      <c r="M7" s="3"/>
    </row>
    <row r="8" spans="2:13" ht="30" customHeight="1">
      <c r="B8" s="5">
        <v>4</v>
      </c>
      <c r="C8" s="35" t="s">
        <v>59</v>
      </c>
      <c r="D8" s="2" t="s">
        <v>283</v>
      </c>
      <c r="E8" s="2" t="s">
        <v>295</v>
      </c>
      <c r="F8" s="5">
        <v>1</v>
      </c>
      <c r="G8" s="5">
        <v>1</v>
      </c>
      <c r="H8" s="5">
        <v>1</v>
      </c>
      <c r="I8" s="5">
        <v>100</v>
      </c>
      <c r="J8" s="5" t="s">
        <v>297</v>
      </c>
      <c r="K8" s="3"/>
      <c r="L8" s="3"/>
      <c r="M8" s="3"/>
    </row>
    <row r="9" spans="2:13" ht="30" customHeight="1">
      <c r="B9" s="5">
        <v>5</v>
      </c>
      <c r="C9" s="29" t="s">
        <v>60</v>
      </c>
      <c r="D9" s="15" t="s">
        <v>298</v>
      </c>
      <c r="E9" s="2" t="s">
        <v>296</v>
      </c>
      <c r="F9" s="5">
        <v>2</v>
      </c>
      <c r="G9" s="5">
        <v>2</v>
      </c>
      <c r="H9" s="5">
        <v>1</v>
      </c>
      <c r="I9" s="5">
        <v>100</v>
      </c>
      <c r="J9" s="5" t="s">
        <v>297</v>
      </c>
      <c r="K9" s="3"/>
      <c r="L9" s="3"/>
      <c r="M9" s="3"/>
    </row>
    <row r="10" spans="2:13" ht="30" customHeight="1">
      <c r="B10" s="5">
        <v>6</v>
      </c>
      <c r="C10" s="29" t="s">
        <v>60</v>
      </c>
      <c r="D10" s="2" t="s">
        <v>284</v>
      </c>
      <c r="E10" s="2" t="s">
        <v>296</v>
      </c>
      <c r="F10" s="5">
        <v>2</v>
      </c>
      <c r="G10" s="5">
        <v>2</v>
      </c>
      <c r="H10" s="5">
        <v>1</v>
      </c>
      <c r="I10" s="5">
        <v>100</v>
      </c>
      <c r="J10" s="5" t="s">
        <v>297</v>
      </c>
      <c r="K10" s="3"/>
      <c r="L10" s="3"/>
      <c r="M10" s="3"/>
    </row>
    <row r="11" spans="2:13" ht="30" customHeight="1">
      <c r="B11" s="5">
        <v>7</v>
      </c>
      <c r="C11" s="29" t="s">
        <v>60</v>
      </c>
      <c r="D11" s="2" t="s">
        <v>285</v>
      </c>
      <c r="E11" s="2" t="s">
        <v>296</v>
      </c>
      <c r="F11" s="5">
        <v>2</v>
      </c>
      <c r="G11" s="5">
        <v>2</v>
      </c>
      <c r="H11" s="5">
        <v>1</v>
      </c>
      <c r="I11" s="5">
        <v>100</v>
      </c>
      <c r="J11" s="5" t="s">
        <v>297</v>
      </c>
      <c r="K11" s="3"/>
      <c r="L11" s="3"/>
      <c r="M11" s="3"/>
    </row>
    <row r="12" spans="2:13" ht="30" customHeight="1">
      <c r="B12" s="5">
        <v>8</v>
      </c>
      <c r="C12" s="29" t="s">
        <v>60</v>
      </c>
      <c r="D12" s="2" t="s">
        <v>286</v>
      </c>
      <c r="E12" s="2" t="s">
        <v>296</v>
      </c>
      <c r="F12" s="5">
        <v>2</v>
      </c>
      <c r="G12" s="5">
        <v>2</v>
      </c>
      <c r="H12" s="5">
        <v>1</v>
      </c>
      <c r="I12" s="5">
        <v>100</v>
      </c>
      <c r="J12" s="5" t="s">
        <v>297</v>
      </c>
      <c r="K12" s="3"/>
      <c r="L12" s="3"/>
      <c r="M12" s="3"/>
    </row>
    <row r="13" spans="2:13" ht="30" customHeight="1">
      <c r="B13" s="5">
        <v>9</v>
      </c>
      <c r="C13" s="29" t="s">
        <v>60</v>
      </c>
      <c r="D13" s="2" t="s">
        <v>287</v>
      </c>
      <c r="E13" s="2" t="s">
        <v>296</v>
      </c>
      <c r="F13" s="5">
        <v>2</v>
      </c>
      <c r="G13" s="5">
        <v>2</v>
      </c>
      <c r="H13" s="5">
        <v>1</v>
      </c>
      <c r="I13" s="5">
        <v>100</v>
      </c>
      <c r="J13" s="5" t="s">
        <v>297</v>
      </c>
      <c r="K13" s="3"/>
      <c r="L13" s="3"/>
      <c r="M13" s="3"/>
    </row>
    <row r="14" spans="2:13" ht="30" customHeight="1">
      <c r="B14" s="5">
        <v>10</v>
      </c>
      <c r="C14" s="40" t="s">
        <v>278</v>
      </c>
      <c r="D14" s="2" t="s">
        <v>288</v>
      </c>
      <c r="E14" s="2" t="s">
        <v>296</v>
      </c>
      <c r="F14" s="5">
        <v>2</v>
      </c>
      <c r="G14" s="5">
        <v>2</v>
      </c>
      <c r="H14" s="5">
        <v>1</v>
      </c>
      <c r="I14" s="5">
        <v>100</v>
      </c>
      <c r="J14" s="5" t="s">
        <v>297</v>
      </c>
      <c r="K14" s="3"/>
      <c r="L14" s="3"/>
      <c r="M14" s="3"/>
    </row>
    <row r="15" spans="2:13" ht="30" customHeight="1">
      <c r="B15" s="5">
        <v>11</v>
      </c>
      <c r="C15" s="30" t="s">
        <v>61</v>
      </c>
      <c r="D15" s="2" t="s">
        <v>289</v>
      </c>
      <c r="E15" s="2" t="s">
        <v>295</v>
      </c>
      <c r="F15" s="5">
        <v>3</v>
      </c>
      <c r="G15" s="5">
        <v>3</v>
      </c>
      <c r="H15" s="5">
        <v>1</v>
      </c>
      <c r="I15" s="5">
        <v>100</v>
      </c>
      <c r="J15" s="5" t="s">
        <v>297</v>
      </c>
      <c r="K15" s="3"/>
      <c r="L15" s="3"/>
      <c r="M15" s="3"/>
    </row>
    <row r="16" spans="2:13" ht="30" customHeight="1">
      <c r="B16" s="5">
        <v>12</v>
      </c>
      <c r="C16" s="31" t="s">
        <v>62</v>
      </c>
      <c r="D16" s="2" t="s">
        <v>290</v>
      </c>
      <c r="E16" s="2" t="s">
        <v>280</v>
      </c>
      <c r="F16" s="5">
        <v>3</v>
      </c>
      <c r="G16" s="5">
        <v>3</v>
      </c>
      <c r="H16" s="5">
        <v>1</v>
      </c>
      <c r="I16" s="5">
        <v>80</v>
      </c>
      <c r="J16" s="5" t="s">
        <v>299</v>
      </c>
      <c r="K16" s="3"/>
      <c r="L16" s="3"/>
      <c r="M16" s="3"/>
    </row>
    <row r="17" spans="2:13" ht="30" customHeight="1">
      <c r="B17" s="5">
        <v>13</v>
      </c>
      <c r="C17" s="32" t="s">
        <v>63</v>
      </c>
      <c r="D17" s="2" t="s">
        <v>291</v>
      </c>
      <c r="E17" s="22" t="s">
        <v>293</v>
      </c>
      <c r="F17" s="5">
        <v>3</v>
      </c>
      <c r="G17" s="5">
        <v>3</v>
      </c>
      <c r="H17" s="5">
        <v>1</v>
      </c>
      <c r="I17" s="5">
        <v>100</v>
      </c>
      <c r="J17" s="5" t="s">
        <v>297</v>
      </c>
      <c r="K17" s="3"/>
      <c r="L17" s="3"/>
      <c r="M17" s="3"/>
    </row>
    <row r="18" spans="2:13" ht="30" customHeight="1">
      <c r="B18" s="5">
        <v>14</v>
      </c>
      <c r="C18" s="33" t="s">
        <v>64</v>
      </c>
      <c r="D18" s="2" t="s">
        <v>292</v>
      </c>
      <c r="E18" s="2" t="s">
        <v>280</v>
      </c>
      <c r="F18" s="5">
        <v>3</v>
      </c>
      <c r="G18" s="5">
        <v>3</v>
      </c>
      <c r="H18" s="5">
        <v>1</v>
      </c>
      <c r="I18" s="5">
        <v>100</v>
      </c>
      <c r="J18" s="5" t="s">
        <v>297</v>
      </c>
      <c r="K18" s="3"/>
      <c r="L18" s="3"/>
      <c r="M18" s="3"/>
    </row>
    <row r="19" spans="2:13">
      <c r="D19" s="28"/>
    </row>
    <row r="20" spans="2:13" ht="15" customHeight="1">
      <c r="B20" s="84" t="s">
        <v>136</v>
      </c>
      <c r="C20" s="85"/>
    </row>
    <row r="21" spans="2:13" ht="15" customHeight="1">
      <c r="B21" s="86" t="s">
        <v>58</v>
      </c>
      <c r="C21" s="87"/>
    </row>
    <row r="22" spans="2:13" ht="15" customHeight="1">
      <c r="B22" s="88" t="s">
        <v>59</v>
      </c>
      <c r="C22" s="89"/>
    </row>
    <row r="23" spans="2:13" ht="15" customHeight="1">
      <c r="B23" s="72" t="s">
        <v>60</v>
      </c>
      <c r="C23" s="73"/>
    </row>
    <row r="24" spans="2:13" ht="15" customHeight="1">
      <c r="B24" s="74" t="s">
        <v>61</v>
      </c>
      <c r="C24" s="75"/>
    </row>
    <row r="25" spans="2:13" ht="15" customHeight="1">
      <c r="B25" s="76" t="s">
        <v>62</v>
      </c>
      <c r="C25" s="77"/>
    </row>
    <row r="26" spans="2:13" ht="15" customHeight="1">
      <c r="B26" s="78" t="s">
        <v>63</v>
      </c>
      <c r="C26" s="79"/>
    </row>
    <row r="27" spans="2:13" ht="15" customHeight="1">
      <c r="B27" s="80" t="s">
        <v>64</v>
      </c>
      <c r="C27" s="81"/>
    </row>
    <row r="28" spans="2:13" ht="15" customHeight="1">
      <c r="B28" s="70" t="s">
        <v>65</v>
      </c>
      <c r="C28" s="71"/>
    </row>
  </sheetData>
  <mergeCells count="11">
    <mergeCell ref="B3:M3"/>
    <mergeCell ref="B2:M2"/>
    <mergeCell ref="B20:C20"/>
    <mergeCell ref="B21:C21"/>
    <mergeCell ref="B22:C22"/>
    <mergeCell ref="B28:C28"/>
    <mergeCell ref="B23:C23"/>
    <mergeCell ref="B24:C24"/>
    <mergeCell ref="B25:C25"/>
    <mergeCell ref="B26:C26"/>
    <mergeCell ref="B27:C27"/>
  </mergeCells>
  <phoneticPr fontId="17" type="noConversion"/>
  <conditionalFormatting sqref="K5:M18">
    <cfRule type="expression" dxfId="0" priority="2">
      <formula>AND(K$4&gt;=$F5,K$4&lt;=$G5)</formula>
    </cfRule>
  </conditionalFormatting>
  <dataValidations count="1"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>
      <selection activeCell="C10" sqref="C10"/>
    </sheetView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52" t="s">
        <v>66</v>
      </c>
      <c r="C2" s="53"/>
    </row>
    <row r="3" spans="2:3" ht="19.5" customHeight="1">
      <c r="B3" s="58" t="s">
        <v>67</v>
      </c>
      <c r="C3" s="44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2026-07-15T04:40:45Z</dcterms:modified>
  <dc:language>en-US</dc:language>
</cp:coreProperties>
</file>