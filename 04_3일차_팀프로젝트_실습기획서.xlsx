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SAFY\Desktop\나의_SSAFY_이야기\AI_온보딩_[팀_프로젝트]\"/>
    </mc:Choice>
  </mc:AlternateContent>
  <xr:revisionPtr revIDLastSave="0" documentId="13_ncr:1_{4A5E1CE8-B6B2-484E-823E-7A1EEF321666}" xr6:coauthVersionLast="47" xr6:coauthVersionMax="47" xr10:uidLastSave="{00000000-0000-0000-0000-000000000000}"/>
  <bookViews>
    <workbookView xWindow="-120" yWindow="-120" windowWidth="38640" windowHeight="21120" tabRatio="500" firstSheet="4" activeTab="5" xr2:uid="{00000000-000D-0000-FFFF-FFFF00000000}"/>
  </bookViews>
  <sheets>
    <sheet name="0_사용안내" sheetId="1" r:id="rId1"/>
    <sheet name="1_프롬프트가이드(참고)" sheetId="2" r:id="rId2"/>
    <sheet name="2_요구사항분석(실습)" sheetId="3" r:id="rId3"/>
    <sheet name="3_아이디어도출(실습)" sheetId="4" r:id="rId4"/>
    <sheet name="4_MVP정의(실습)" sheetId="5" r:id="rId5"/>
    <sheet name="5_WBS_간트차트(실습)" sheetId="6" r:id="rId6"/>
    <sheet name="6_용어설명(참고)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8" i="6" l="1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G10" i="4"/>
  <c r="G11" i="4"/>
  <c r="G12" i="4"/>
  <c r="G13" i="4"/>
  <c r="G16" i="4"/>
  <c r="G17" i="4"/>
  <c r="G7" i="4"/>
  <c r="G8" i="4"/>
  <c r="G9" i="4"/>
  <c r="G19" i="4"/>
  <c r="G18" i="4"/>
  <c r="G6" i="4"/>
</calcChain>
</file>

<file path=xl/sharedStrings.xml><?xml version="1.0" encoding="utf-8"?>
<sst xmlns="http://schemas.openxmlformats.org/spreadsheetml/2006/main" count="344" uniqueCount="277">
  <si>
    <t>실습 소재</t>
  </si>
  <si>
    <t>사용 도구</t>
  </si>
  <si>
    <t>총 소요시간</t>
  </si>
  <si>
    <t>1_프롬프트가이드(참고)</t>
  </si>
  <si>
    <t>6_용어설명(참고)</t>
  </si>
  <si>
    <t>진행 시 유의사항 (냉철하게 확인할 것)</t>
  </si>
  <si>
    <t>•</t>
  </si>
  <si>
    <t>기술 스택·정책(개발도구 제한, 보안 정책 등)은 개발 의뢰 문서(RFP)에 명시된 값을 그대로 따르고 임의로 바꾸지 마세요.</t>
  </si>
  <si>
    <t>선택 기능을 고를 때는 '멋있어서'가 아니라 '납기 안에 끝낼 수 있는가'를 최우선 기준으로 판단하세요.</t>
  </si>
  <si>
    <t>프롬프트 가이드</t>
  </si>
  <si>
    <t>단계</t>
  </si>
  <si>
    <t>목적</t>
  </si>
  <si>
    <t>프롬프트 예시 (그대로 복사)</t>
  </si>
  <si>
    <t>기대 결과물</t>
  </si>
  <si>
    <t>TIP</t>
  </si>
  <si>
    <t>개발 의뢰 문서(RFP) 핵심요구 추출</t>
  </si>
  <si>
    <t>개발 의뢰 문서(RFP) 원문을 요약하지 말고 통째로 붙여넣을 것. PDF는 파일 첨부도 가능.</t>
  </si>
  <si>
    <t>선택기능 브레인스토밍</t>
  </si>
  <si>
    <t>난이도/기간/적합도 비교표</t>
  </si>
  <si>
    <t>팀의 실제 제약조건(기간, 인원, 기술스택)을 프롬프트에 꼭 넣어야 현실적인 답이 나옴.</t>
  </si>
  <si>
    <t>③ MVP정의</t>
  </si>
  <si>
    <t>MoSCoW(우선순위 분류법) 초안</t>
  </si>
  <si>
    <t>Must/Should/Could/Won't 표</t>
  </si>
  <si>
    <t>'Won't have'를 명시하면 착수 후 범위가 슬금슬금 늘어나는 것(스코프 크립)을 막을 수 있음.</t>
  </si>
  <si>
    <t>WBS 초안 생성</t>
  </si>
  <si>
    <t>작업분해 + 일정 표</t>
  </si>
  <si>
    <t>'오늘 날짜'와 '납기'를 반드시 알려줘야 실제 캘린더에 맞는 일정이 나옴.</t>
  </si>
  <si>
    <t>LocalHub 요구사항 분석 (MoSCoW)</t>
  </si>
  <si>
    <t>구분</t>
  </si>
  <si>
    <t>항목</t>
  </si>
  <si>
    <t>상세 내용</t>
  </si>
  <si>
    <t>검토의견</t>
  </si>
  <si>
    <t>▶ 실습란 (ChatGPT 결과를 검토하며 직접 채워보세요 — 개발 의뢰 문서(RFP)를 처음부터 분석)</t>
  </si>
  <si>
    <t>선택기능 아이디어 도출 및 평가</t>
  </si>
  <si>
    <t>작성 가이드: 실현가능성은 구현난이도가 낮을수록 높게(예: 난이도2-&gt;실현가능성4), 임팩트는 사용자 체감효과로 팀이 토론 후 채점</t>
  </si>
  <si>
    <t>선택기능</t>
  </si>
  <si>
    <t>설명</t>
  </si>
  <si>
    <t>구현난이도
(1~5,낮을수록쉬움)</t>
  </si>
  <si>
    <t>실현가능성
(1~5)</t>
  </si>
  <si>
    <t>임팩트
(1~5)</t>
  </si>
  <si>
    <t>종합점수(자동)</t>
  </si>
  <si>
    <t>선정여부</t>
  </si>
  <si>
    <t>LocalHub MVP 정의서</t>
  </si>
  <si>
    <t>MVP(Minimum Viable Product, 최소기능제품)란? 핵심 기능만 담아 가장 빠르게 완성하는 최소 버전의 제품</t>
  </si>
  <si>
    <t>선정 권역</t>
  </si>
  <si>
    <t>핵심 문제</t>
  </si>
  <si>
    <t>타깃 사용자</t>
  </si>
  <si>
    <t>성공 지표</t>
  </si>
  <si>
    <t>Must have (반드시 포함 - 개발 의뢰 문서(RFP) 필수 요구사항)</t>
  </si>
  <si>
    <t>Should / Could have (선택 - 팀이 선정한 기능으로 교체)</t>
  </si>
  <si>
    <t>Won't have (이번 MVP 범위에서 제외 - 스코프 크립: 범위가 계속 늘어나는 현상 방지)</t>
  </si>
  <si>
    <t>LocalHub WBS + 간트차트 (Day 1~Day 3 기준)</t>
  </si>
  <si>
    <t>No</t>
  </si>
  <si>
    <t>대분류</t>
  </si>
  <si>
    <t>작업명</t>
  </si>
  <si>
    <t>담당</t>
  </si>
  <si>
    <t>소요일</t>
  </si>
  <si>
    <t>상태</t>
  </si>
  <si>
    <t>기획</t>
  </si>
  <si>
    <t>설계</t>
  </si>
  <si>
    <t>개발</t>
  </si>
  <si>
    <t>배포</t>
  </si>
  <si>
    <t>테스트</t>
  </si>
  <si>
    <t>문서화</t>
  </si>
  <si>
    <t>발표준비</t>
  </si>
  <si>
    <t>진행기간</t>
  </si>
  <si>
    <t>쉬운 용어 사전</t>
  </si>
  <si>
    <t>낯선 단어가 나올 때마다 이 탭에서 찾아보세요. 본문에도 처음 나오는 곳에 괄호로 짧게 설명을 붙여두었습니다.</t>
  </si>
  <si>
    <t>용어</t>
  </si>
  <si>
    <t>쉬운 설명</t>
  </si>
  <si>
    <t>RFP (Request for Proposal)</t>
  </si>
  <si>
    <t>고객사가 '이런 서비스를 만들어주세요'라고 보내는 공식 개발 의뢰 문서</t>
  </si>
  <si>
    <t>MVP (Minimum Viable Product)</t>
  </si>
  <si>
    <t>핵심 기능만 담아 가장 빠르게 완성하는 최소 버전의 제품</t>
  </si>
  <si>
    <t>WBS (Work Breakdown Structure)</t>
  </si>
  <si>
    <t>전체 작업을 실행 가능한 작은 단위로 쪼갠 목록</t>
  </si>
  <si>
    <t>간트차트 (Gantt Chart)</t>
  </si>
  <si>
    <t>작업별 일정을 막대로 표시해 한눈에 보는 일정표</t>
  </si>
  <si>
    <t>MoSCoW</t>
  </si>
  <si>
    <t>요구사항을 Must(필수).Should(중요).Could(선택).Won't(제외)로 나누는 우선순위 분류법</t>
  </si>
  <si>
    <t>CRUD</t>
  </si>
  <si>
    <t>데이터를 새로 만들고(Create).조회하고(Read).수정하고(Update).삭제하는(Delete) 4가지 기본 기능</t>
  </si>
  <si>
    <t>API (Application Programming Interface)</t>
  </si>
  <si>
    <t>서로 다른 프로그램이 데이터를 주고받을 수 있게 해주는 규칙과 통로</t>
  </si>
  <si>
    <t>프론트엔드(FE) / 백엔드(BE)</t>
  </si>
  <si>
    <t>프론트엔드는 사용자가 보는 화면, 백엔드는 화면 뒤에서 데이터를 처리하는 서버 부분</t>
  </si>
  <si>
    <t>SPA (Single Page Application)</t>
  </si>
  <si>
    <t>페이지 전체를 새로고침하지 않고 필요한 부분만 바뀌는 웹사이트 방식</t>
  </si>
  <si>
    <t>챗봇 (Chatbot)</t>
  </si>
  <si>
    <t>사람과 대화하듯 자동으로 질문에 답해주는 프로그램</t>
  </si>
  <si>
    <t>배포 (Deployment)</t>
  </si>
  <si>
    <t>완성한 프로그램을 인터넷에서 실제로 접속할 수 있게 서버에 올리는 작업 (Netlify.Render는 이를 무료로 도와주는 서비스)</t>
  </si>
  <si>
    <t>.env (환경변수 파일)</t>
  </si>
  <si>
    <t>비밀번호.API 키처럼 남에게 노출되면 안 되는 정보를 코드와 분리해서 저장하는 파일</t>
  </si>
  <si>
    <t>공공누리</t>
  </si>
  <si>
    <t>공공기관이 만든 데이터를 누가 어떻게 써도 되는지 정부가 정해둔 이용 허락 표시 (1~4유형)</t>
  </si>
  <si>
    <t>스코프 크립 (Scope Creep)</t>
  </si>
  <si>
    <t>처음 정한 작업 범위를 넘어 요구사항이 계속 늘어나는 현상</t>
  </si>
  <si>
    <t>조건부 서식</t>
  </si>
  <si>
    <t>엑셀에서 특정 조건을 만족하면 셀 색이 자동으로 바뀌는 기능 (이 워크북의 간트차트에 사용됨)</t>
  </si>
  <si>
    <t>프롬프트 (Prompt)</t>
  </si>
  <si>
    <t>ChatGPT 같은 AI에게 입력하는 질문이나 지시문</t>
  </si>
  <si>
    <t>실현가능성 / 임팩트</t>
  </si>
  <si>
    <t>실현가능성은 우리 팀이 얼마나 쉽게 만들 수 있는가, 임팩트는 사용자에게 얼마나 도움이 되는가를 뜻함</t>
  </si>
  <si>
    <t>Vue.js / FastAPI / SQLite</t>
  </si>
  <si>
    <t>각각 화면(Vue.js).서버(FastAPI).데이터저장(SQLite)을 만들 때 쓰는 무료 개발 도구</t>
  </si>
  <si>
    <t>i18n (국제화)</t>
  </si>
  <si>
    <t>하나의 서비스에서 여러 나라 언어를 지원하도록 만드는 기술</t>
  </si>
  <si>
    <t>WebSocket</t>
  </si>
  <si>
    <t>새로고침 없이 실시간으로 데이터를 주고받는 통신 방식</t>
  </si>
  <si>
    <r>
      <t xml:space="preserve">LocalHub </t>
    </r>
    <r>
      <rPr>
        <b/>
        <sz val="18"/>
        <color rgb="FFFFFFFF"/>
        <rFont val="맑은 고딕"/>
        <family val="3"/>
        <charset val="129"/>
      </rPr>
      <t>프로젝트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기획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완성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샘플</t>
    </r>
    <r>
      <rPr>
        <b/>
        <sz val="18"/>
        <color rgb="FFFFFFFF"/>
        <rFont val="Arial"/>
        <family val="2"/>
      </rPr>
      <t xml:space="preserve"> (</t>
    </r>
    <r>
      <rPr>
        <b/>
        <sz val="18"/>
        <color rgb="FFFFFFFF"/>
        <rFont val="맑은 고딕"/>
        <family val="2"/>
        <charset val="129"/>
      </rPr>
      <t>참고용)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</si>
  <si>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실습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2"/>
        <charset val="129"/>
      </rPr>
      <t>목표</t>
    </r>
    <phoneticPr fontId="17" type="noConversion"/>
  </si>
  <si>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MVP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WBS/</t>
    </r>
    <r>
      <rPr>
        <sz val="10"/>
        <color rgb="FF222222"/>
        <rFont val="맑은 고딕"/>
        <family val="3"/>
        <charset val="129"/>
      </rPr>
      <t>간트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과정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체험</t>
    </r>
    <phoneticPr fontId="17" type="noConversion"/>
  </si>
  <si>
    <r>
      <rPr>
        <sz val="10"/>
        <color rgb="FF222222"/>
        <rFont val="맑은 고딕"/>
        <family val="3"/>
        <charset val="129"/>
      </rPr>
      <t>공공데이터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기반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지역정보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커뮤니티</t>
    </r>
    <r>
      <rPr>
        <sz val="10"/>
        <color rgb="FF222222"/>
        <rFont val="Arial"/>
        <family val="2"/>
      </rPr>
      <t xml:space="preserve"> 'LocalHub'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
-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보내는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현업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양식과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동일</t>
    </r>
    <phoneticPr fontId="17" type="noConversion"/>
  </si>
  <si>
    <t>ChatGPT</t>
    <phoneticPr fontId="17" type="noConversion"/>
  </si>
  <si>
    <r>
      <t>3</t>
    </r>
    <r>
      <rPr>
        <sz val="10"/>
        <color rgb="FF222222"/>
        <rFont val="맑은 고딕"/>
        <family val="3"/>
        <charset val="129"/>
      </rPr>
      <t>시간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</si>
  <si>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구성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및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진행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순서</t>
    </r>
    <r>
      <rPr>
        <b/>
        <sz val="10"/>
        <color rgb="FF222222"/>
        <rFont val="Arial"/>
        <family val="2"/>
      </rPr>
      <t xml:space="preserve"> 
(</t>
    </r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색상</t>
    </r>
    <r>
      <rPr>
        <b/>
        <sz val="10"/>
        <color rgb="FF222222"/>
        <rFont val="Arial"/>
        <family val="2"/>
      </rPr>
      <t xml:space="preserve">: </t>
    </r>
    <r>
      <rPr>
        <b/>
        <sz val="10"/>
        <color rgb="FF222222"/>
        <rFont val="맑은 고딕"/>
        <family val="3"/>
        <charset val="129"/>
      </rPr>
      <t>청록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완성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샘플</t>
    </r>
    <r>
      <rPr>
        <b/>
        <sz val="10"/>
        <color rgb="FF222222"/>
        <rFont val="Arial"/>
        <family val="2"/>
      </rPr>
      <t xml:space="preserve"> / </t>
    </r>
    <r>
      <rPr>
        <b/>
        <sz val="10"/>
        <color rgb="FF222222"/>
        <rFont val="맑은 고딕"/>
        <family val="3"/>
        <charset val="129"/>
      </rPr>
      <t>남색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참고만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하면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됨</t>
    </r>
    <r>
      <rPr>
        <b/>
        <sz val="10"/>
        <color rgb="FF222222"/>
        <rFont val="Arial"/>
        <family val="2"/>
      </rPr>
      <t>)</t>
    </r>
    <phoneticPr fontId="17" type="noConversion"/>
  </si>
  <si>
    <r>
      <rPr>
        <sz val="10"/>
        <color rgb="FF222222"/>
        <rFont val="맑은 고딕"/>
        <family val="3"/>
        <charset val="129"/>
      </rPr>
      <t>실습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먼저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읽기</t>
    </r>
    <r>
      <rPr>
        <sz val="10"/>
        <color rgb="FF222222"/>
        <rFont val="Arial"/>
        <family val="2"/>
      </rPr>
      <t xml:space="preserve"> 
- 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단계에서</t>
    </r>
    <r>
      <rPr>
        <sz val="10"/>
        <color rgb="FF222222"/>
        <rFont val="Arial"/>
        <family val="2"/>
      </rPr>
      <t xml:space="preserve"> ChatGPT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프롬프트</t>
    </r>
    <r>
      <rPr>
        <sz val="10"/>
        <color rgb="FF222222"/>
        <rFont val="Arial"/>
        <family val="2"/>
      </rPr>
      <t>(AI</t>
    </r>
    <r>
      <rPr>
        <sz val="10"/>
        <color rgb="FF222222"/>
        <rFont val="맑은 고딕"/>
        <family val="3"/>
        <charset val="129"/>
      </rPr>
      <t>에게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입력하는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질문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지시문</t>
    </r>
    <r>
      <rPr>
        <sz val="10"/>
        <color rgb="FF222222"/>
        <rFont val="Arial"/>
        <family val="2"/>
      </rPr>
      <t xml:space="preserve">) </t>
    </r>
    <r>
      <rPr>
        <sz val="10"/>
        <color rgb="FF222222"/>
        <rFont val="맑은 고딕"/>
        <family val="3"/>
        <charset val="129"/>
      </rPr>
      <t>모음</t>
    </r>
    <phoneticPr fontId="17" type="noConversion"/>
  </si>
  <si>
    <t>2_요구사항분석(샘플)</t>
  </si>
  <si>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>(RFP)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
</t>
    </r>
    <r>
      <rPr>
        <b/>
        <sz val="10"/>
        <color rgb="FF222222"/>
        <rFont val="Arial"/>
        <family val="2"/>
      </rPr>
      <t>Must(</t>
    </r>
    <r>
      <rPr>
        <b/>
        <sz val="10"/>
        <color rgb="FF222222"/>
        <rFont val="맑은 고딕"/>
        <family val="3"/>
        <charset val="129"/>
      </rPr>
      <t>필수</t>
    </r>
    <r>
      <rPr>
        <b/>
        <sz val="10"/>
        <color rgb="FF222222"/>
        <rFont val="Arial"/>
        <family val="2"/>
      </rPr>
      <t>)/Should(</t>
    </r>
    <r>
      <rPr>
        <b/>
        <sz val="10"/>
        <color rgb="FF222222"/>
        <rFont val="맑은 고딕"/>
        <family val="3"/>
        <charset val="129"/>
      </rPr>
      <t>중요</t>
    </r>
    <r>
      <rPr>
        <b/>
        <sz val="10"/>
        <color rgb="FF222222"/>
        <rFont val="Arial"/>
        <family val="2"/>
      </rPr>
      <t>)/Could(</t>
    </r>
    <r>
      <rPr>
        <b/>
        <sz val="10"/>
        <color rgb="FF222222"/>
        <rFont val="맑은 고딕"/>
        <family val="3"/>
        <charset val="129"/>
      </rPr>
      <t>선택</t>
    </r>
    <r>
      <rPr>
        <b/>
        <sz val="10"/>
        <color rgb="FF222222"/>
        <rFont val="Arial"/>
        <family val="2"/>
      </rPr>
      <t>)/Won't(</t>
    </r>
    <r>
      <rPr>
        <b/>
        <sz val="10"/>
        <color rgb="FF222222"/>
        <rFont val="맑은 고딕"/>
        <family val="3"/>
        <charset val="129"/>
      </rPr>
      <t>제외</t>
    </r>
    <r>
      <rPr>
        <b/>
        <sz val="10"/>
        <color rgb="FF222222"/>
        <rFont val="Arial"/>
        <family val="2"/>
      </rPr>
      <t>)</t>
    </r>
    <r>
      <rPr>
        <sz val="10"/>
        <color rgb="FF222222"/>
        <rFont val="Arial"/>
        <family val="2"/>
      </rPr>
      <t>+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분해한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완성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예시</t>
    </r>
    <r>
      <rPr>
        <sz val="10"/>
        <color rgb="FF222222"/>
        <rFont val="Arial"/>
        <family val="2"/>
      </rPr>
      <t xml:space="preserve"> (MoSCoW </t>
    </r>
    <r>
      <rPr>
        <sz val="10"/>
        <color rgb="FF222222"/>
        <rFont val="맑은 고딕"/>
        <family val="3"/>
        <charset val="129"/>
      </rPr>
      <t>방식</t>
    </r>
    <r>
      <rPr>
        <sz val="10"/>
        <color rgb="FF222222"/>
        <rFont val="Arial"/>
        <family val="2"/>
      </rPr>
      <t>)</t>
    </r>
    <phoneticPr fontId="17" type="noConversion"/>
  </si>
  <si>
    <t>3_아이디어도출(샘플)</t>
  </si>
  <si>
    <t>선택기능 8종을 실현가능성x임팩트로 평가해 선정까지 완료한 완성 예시</t>
  </si>
  <si>
    <t>4_MVP정의(샘플)</t>
  </si>
  <si>
    <t>MVP(최소기능제품) 범위(할 것/안 할 것)를 확정한 완성 예시</t>
  </si>
  <si>
    <t>5_WBS_간트차트(샘플)</t>
  </si>
  <si>
    <t>확정된 MVP 기준 작업분해(WBS) 및 일정표(간트차트)를 완성한 예시</t>
  </si>
  <si>
    <r>
      <rPr>
        <sz val="10"/>
        <color rgb="FF222222"/>
        <rFont val="맑은 고딕"/>
        <family val="3"/>
        <charset val="129"/>
      </rPr>
      <t>낯선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때마다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참고하는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사전</t>
    </r>
    <phoneticPr fontId="17" type="noConversion"/>
  </si>
  <si>
    <r>
      <t xml:space="preserve">ChatGPT </t>
    </r>
    <r>
      <rPr>
        <sz val="10"/>
        <color rgb="FF222222"/>
        <rFont val="맑은 고딕"/>
        <family val="3"/>
        <charset val="129"/>
      </rPr>
      <t>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초안일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뿐입니다</t>
    </r>
    <r>
      <rPr>
        <sz val="10"/>
        <color rgb="FF222222"/>
        <rFont val="Arial"/>
        <family val="2"/>
      </rPr>
      <t xml:space="preserve">. 
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원문과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대조해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빠지거나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틀린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없는지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재확인하세요</t>
    </r>
    <r>
      <rPr>
        <sz val="10"/>
        <color rgb="FF222222"/>
        <rFont val="Arial"/>
        <family val="2"/>
      </rPr>
      <t>.</t>
    </r>
    <phoneticPr fontId="17" type="noConversion"/>
  </si>
  <si>
    <r>
      <t xml:space="preserve">LLM (ChatGPT) </t>
    </r>
    <r>
      <rPr>
        <b/>
        <sz val="10"/>
        <color rgb="FF222222"/>
        <rFont val="맑은 고딕"/>
        <family val="3"/>
        <charset val="129"/>
      </rPr>
      <t>사용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팁</t>
    </r>
    <phoneticPr fontId="17" type="noConversion"/>
  </si>
  <si>
    <r>
      <rPr>
        <sz val="10"/>
        <color rgb="FF222222"/>
        <rFont val="맑은 고딕"/>
        <family val="3"/>
        <charset val="129"/>
      </rPr>
      <t>파일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업로드, 웹검색, 이미지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첨부가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가능하니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파일을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올려도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됨</t>
    </r>
    <phoneticPr fontId="17" type="noConversion"/>
  </si>
  <si>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형태로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답을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받으면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엑셀</t>
    </r>
    <r>
      <rPr>
        <sz val="10"/>
        <color rgb="FF222222"/>
        <rFont val="Arial"/>
        <family val="2"/>
      </rPr>
      <t>(Ctrl+V)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  <charset val="129"/>
      </rPr>
      <t>-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워크북의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실습란에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활용</t>
    </r>
    <phoneticPr fontId="17" type="noConversion"/>
  </si>
  <si>
    <r>
      <rPr>
        <sz val="10"/>
        <color rgb="FF222222"/>
        <rFont val="맑은 고딕"/>
        <family val="3"/>
        <charset val="129"/>
      </rPr>
      <t>ChatGPT의 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최신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아닐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있으니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사실관계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가격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법령</t>
    </r>
    <r>
      <rPr>
        <sz val="10"/>
        <color rgb="FF222222"/>
        <rFont val="Arial"/>
        <family val="2"/>
      </rPr>
      <t xml:space="preserve">, API </t>
    </r>
    <r>
      <rPr>
        <sz val="10"/>
        <color rgb="FF222222"/>
        <rFont val="맑은 고딕"/>
        <family val="3"/>
        <charset val="129"/>
      </rPr>
      <t>스펙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등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 xml:space="preserve">반드시 </t>
    </r>
    <r>
      <rPr>
        <sz val="10"/>
        <color rgb="FF222222"/>
        <rFont val="맑은 고딕"/>
        <family val="3"/>
        <charset val="129"/>
      </rPr>
      <t>재확인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</si>
  <si>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개발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의뢰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 xml:space="preserve">문서
</t>
    </r>
    <r>
      <rPr>
        <b/>
        <sz val="10"/>
        <color rgb="FF222222"/>
        <rFont val="Arial"/>
        <family val="2"/>
      </rPr>
      <t xml:space="preserve">(RFP) </t>
    </r>
    <r>
      <rPr>
        <b/>
        <sz val="10"/>
        <color rgb="FF222222"/>
        <rFont val="맑은 고딕"/>
        <family val="3"/>
        <charset val="129"/>
      </rPr>
      <t>근거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</si>
  <si>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선정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결과</t>
    </r>
    <phoneticPr fontId="17" type="noConversion"/>
  </si>
  <si>
    <t>평가기준: 
 - 실현가능성(우리 팀이 얼마나 쉽게 만들 수 있는가)
 - 임팩트(사용자에게 얼마나 도움이 되는가)는 5점 만점(5=최고)
 - 종합점수 = 실현가능성 x 임팩트 x 2 (자동계산, 50점 만점)</t>
    <phoneticPr fontId="17" type="noConversion"/>
  </si>
  <si>
    <r>
      <t>WBS(</t>
    </r>
    <r>
      <rPr>
        <sz val="8"/>
        <color rgb="FF222222"/>
        <rFont val="맑은 고딕"/>
        <family val="2"/>
        <charset val="129"/>
      </rPr>
      <t>작업분해구조</t>
    </r>
    <r>
      <rPr>
        <sz val="8"/>
        <color rgb="FF222222"/>
        <rFont val="Arial"/>
        <family val="2"/>
      </rPr>
      <t xml:space="preserve">): </t>
    </r>
    <r>
      <rPr>
        <sz val="8"/>
        <color rgb="FF222222"/>
        <rFont val="맑은 고딕"/>
        <family val="2"/>
        <charset val="129"/>
      </rPr>
      <t>작업을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잘게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쪼갠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목록</t>
    </r>
    <r>
      <rPr>
        <sz val="8"/>
        <color rgb="FF222222"/>
        <rFont val="Arial"/>
        <family val="2"/>
      </rPr>
      <t xml:space="preserve"> / </t>
    </r>
    <r>
      <rPr>
        <sz val="8"/>
        <color rgb="FF222222"/>
        <rFont val="맑은 고딕"/>
        <family val="2"/>
        <charset val="129"/>
      </rPr>
      <t>간트차트</t>
    </r>
    <r>
      <rPr>
        <sz val="8"/>
        <color rgb="FF222222"/>
        <rFont val="Arial"/>
        <family val="2"/>
      </rPr>
      <t xml:space="preserve">: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막대로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표시하는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</t>
    </r>
    <r>
      <rPr>
        <sz val="8"/>
        <color rgb="FF222222"/>
        <rFont val="Arial"/>
        <family val="2"/>
      </rPr>
      <t xml:space="preserve">. 
 - </t>
    </r>
    <r>
      <rPr>
        <sz val="8"/>
        <color rgb="FF222222"/>
        <rFont val="맑은 고딕"/>
        <family val="2"/>
        <charset val="129"/>
      </rPr>
      <t>실습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편의상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전체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Day1~Day3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단순화</t>
    </r>
    <r>
      <rPr>
        <sz val="8"/>
        <color rgb="FF222222"/>
        <rFont val="Arial"/>
        <family val="2"/>
      </rPr>
      <t xml:space="preserve">
  (</t>
    </r>
    <r>
      <rPr>
        <sz val="8"/>
        <color rgb="FF222222"/>
        <rFont val="맑은 고딕"/>
        <family val="2"/>
        <charset val="129"/>
      </rPr>
      <t>기획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설계</t>
    </r>
    <r>
      <rPr>
        <sz val="8"/>
        <color rgb="FF222222"/>
        <rFont val="Arial"/>
        <family val="2"/>
      </rPr>
      <t xml:space="preserve">=Day1, </t>
    </r>
    <r>
      <rPr>
        <sz val="8"/>
        <color rgb="FF222222"/>
        <rFont val="맑은 고딕"/>
        <family val="2"/>
        <charset val="129"/>
      </rPr>
      <t>개발</t>
    </r>
    <r>
      <rPr>
        <sz val="8"/>
        <color rgb="FF222222"/>
        <rFont val="Arial"/>
        <family val="2"/>
      </rPr>
      <t xml:space="preserve">=Day2, </t>
    </r>
    <r>
      <rPr>
        <sz val="8"/>
        <color rgb="FF222222"/>
        <rFont val="맑은 고딕"/>
        <family val="2"/>
        <charset val="129"/>
      </rPr>
      <t>배포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테스트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문서화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발표준비</t>
    </r>
    <r>
      <rPr>
        <sz val="8"/>
        <color rgb="FF222222"/>
        <rFont val="Arial"/>
        <family val="2"/>
      </rPr>
      <t xml:space="preserve">=Day3)
-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프로젝트에서는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단계를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여러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세분화해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날짜</t>
    </r>
    <r>
      <rPr>
        <sz val="8"/>
        <color rgb="FF222222"/>
        <rFont val="Arial"/>
        <family val="2"/>
      </rPr>
      <t>(YYYY-MM-DD)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환산하세요</t>
    </r>
    <r>
      <rPr>
        <sz val="8"/>
        <color rgb="FF222222"/>
        <rFont val="Arial"/>
        <family val="2"/>
      </rPr>
      <t xml:space="preserve">. </t>
    </r>
    <r>
      <rPr>
        <sz val="8"/>
        <color rgb="FF222222"/>
        <rFont val="맑은 고딕"/>
        <family val="2"/>
        <charset val="129"/>
      </rPr>
      <t>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탭은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완성된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예시입니다</t>
    </r>
    <r>
      <rPr>
        <sz val="8"/>
        <color rgb="FF222222"/>
        <rFont val="Arial"/>
        <family val="2"/>
      </rPr>
      <t>.</t>
    </r>
    <phoneticPr fontId="17" type="noConversion"/>
  </si>
  <si>
    <t>대분류 (범례)</t>
    <phoneticPr fontId="17" type="noConversion"/>
  </si>
  <si>
    <t>진행률(%)</t>
    <phoneticPr fontId="17" type="noConversion"/>
  </si>
  <si>
    <r>
      <rPr>
        <b/>
        <sz val="9"/>
        <color rgb="FF222222"/>
        <rFont val="맑은 고딕"/>
        <family val="3"/>
        <charset val="129"/>
      </rPr>
      <t xml:space="preserve">시작
</t>
    </r>
    <r>
      <rPr>
        <b/>
        <sz val="9"/>
        <color rgb="FF222222"/>
        <rFont val="Arial"/>
        <family val="2"/>
      </rPr>
      <t>(Day)</t>
    </r>
    <phoneticPr fontId="17" type="noConversion"/>
  </si>
  <si>
    <r>
      <rPr>
        <b/>
        <sz val="9"/>
        <color rgb="FF222222"/>
        <rFont val="맑은 고딕"/>
        <family val="3"/>
        <charset val="129"/>
      </rPr>
      <t xml:space="preserve">종료
</t>
    </r>
    <r>
      <rPr>
        <b/>
        <sz val="9"/>
        <color rgb="FF222222"/>
        <rFont val="Arial"/>
        <family val="2"/>
      </rPr>
      <t>(Day)</t>
    </r>
    <phoneticPr fontId="17" type="noConversion"/>
  </si>
  <si>
    <r>
      <t>MoSCoW</t>
    </r>
    <r>
      <rPr>
        <sz val="11"/>
        <color rgb="FF222222"/>
        <rFont val="맑은 고딕"/>
        <family val="3"/>
        <charset val="129"/>
      </rPr>
      <t>란</t>
    </r>
    <r>
      <rPr>
        <sz val="11"/>
        <color rgb="FF222222"/>
        <rFont val="Arial"/>
        <family val="2"/>
      </rPr>
      <t xml:space="preserve">? </t>
    </r>
    <r>
      <rPr>
        <sz val="11"/>
        <color rgb="FF222222"/>
        <rFont val="맑은 고딕"/>
        <family val="3"/>
        <charset val="129"/>
      </rPr>
      <t>요구사항을</t>
    </r>
    <r>
      <rPr>
        <sz val="11"/>
        <color rgb="FF222222"/>
        <rFont val="Arial"/>
        <family val="2"/>
      </rPr>
      <t xml:space="preserve"> </t>
    </r>
    <r>
      <rPr>
        <b/>
        <sz val="11"/>
        <color rgb="FF222222"/>
        <rFont val="Arial"/>
        <family val="2"/>
      </rPr>
      <t>Must(</t>
    </r>
    <r>
      <rPr>
        <b/>
        <sz val="11"/>
        <color rgb="FF222222"/>
        <rFont val="맑은 고딕"/>
        <family val="3"/>
        <charset val="129"/>
      </rPr>
      <t>반드시</t>
    </r>
    <r>
      <rPr>
        <b/>
        <sz val="11"/>
        <color rgb="FF222222"/>
        <rFont val="Arial"/>
        <family val="2"/>
      </rPr>
      <t>)/Should(</t>
    </r>
    <r>
      <rPr>
        <b/>
        <sz val="11"/>
        <color rgb="FF222222"/>
        <rFont val="맑은 고딕"/>
        <family val="3"/>
        <charset val="129"/>
      </rPr>
      <t>중요</t>
    </r>
    <r>
      <rPr>
        <b/>
        <sz val="11"/>
        <color rgb="FF222222"/>
        <rFont val="Arial"/>
        <family val="2"/>
      </rPr>
      <t>)/Could(</t>
    </r>
    <r>
      <rPr>
        <b/>
        <sz val="11"/>
        <color rgb="FF222222"/>
        <rFont val="맑은 고딕"/>
        <family val="3"/>
        <charset val="129"/>
      </rPr>
      <t>있으면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좋음</t>
    </r>
    <r>
      <rPr>
        <b/>
        <sz val="11"/>
        <color rgb="FF222222"/>
        <rFont val="Arial"/>
        <family val="2"/>
      </rPr>
      <t>)/Won't(</t>
    </r>
    <r>
      <rPr>
        <b/>
        <sz val="11"/>
        <color rgb="FF222222"/>
        <rFont val="맑은 고딕"/>
        <family val="3"/>
        <charset val="129"/>
      </rPr>
      <t>이번엔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제외</t>
    </r>
    <r>
      <rPr>
        <b/>
        <sz val="11"/>
        <color rgb="FF222222"/>
        <rFont val="Arial"/>
        <family val="2"/>
      </rPr>
      <t>)</t>
    </r>
    <r>
      <rPr>
        <b/>
        <sz val="11"/>
        <color rgb="FF222222"/>
        <rFont val="맑은 고딕"/>
        <family val="3"/>
        <charset val="129"/>
      </rPr>
      <t>로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나눠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우선순위를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정하는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방법</t>
    </r>
    <r>
      <rPr>
        <sz val="11"/>
        <color rgb="FF222222"/>
        <rFont val="맑은 고딕"/>
        <family val="3"/>
        <charset val="129"/>
      </rPr>
      <t>입니다</t>
    </r>
    <r>
      <rPr>
        <sz val="11"/>
        <color rgb="FF222222"/>
        <rFont val="Arial"/>
        <family val="2"/>
      </rPr>
      <t>.</t>
    </r>
    <phoneticPr fontId="17" type="noConversion"/>
  </si>
  <si>
    <r>
      <rPr>
        <sz val="10"/>
        <color rgb="FF222222"/>
        <rFont val="맑은 고딕"/>
        <family val="3"/>
        <charset val="129"/>
      </rPr>
      <t>너는</t>
    </r>
    <r>
      <rPr>
        <sz val="10"/>
        <color rgb="FF222222"/>
        <rFont val="Arial"/>
        <family val="2"/>
      </rPr>
      <t xml:space="preserve"> 20</t>
    </r>
    <r>
      <rPr>
        <sz val="10"/>
        <color rgb="FF222222"/>
        <rFont val="맑은 고딕"/>
        <family val="3"/>
        <charset val="129"/>
      </rPr>
      <t>년차</t>
    </r>
    <r>
      <rPr>
        <sz val="10"/>
        <color rgb="FF222222"/>
        <rFont val="Arial"/>
        <family val="2"/>
      </rPr>
      <t xml:space="preserve"> PM</t>
    </r>
    <r>
      <rPr>
        <sz val="10"/>
        <color rgb="FF222222"/>
        <rFont val="맑은 고딕"/>
        <family val="3"/>
        <charset val="129"/>
      </rPr>
      <t>이야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아래는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전문이야</t>
    </r>
    <r>
      <rPr>
        <sz val="10"/>
        <color rgb="FF222222"/>
        <rFont val="Arial"/>
        <family val="2"/>
      </rPr>
      <t xml:space="preserve">.
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내용을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분석해서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정리해줘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열은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항목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상세내용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근거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조항, 검토 의견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하고</t>
    </r>
    <r>
      <rPr>
        <sz val="10"/>
        <color rgb="FF222222"/>
        <rFont val="Arial"/>
        <family val="2"/>
      </rPr>
      <t xml:space="preserve">,
</t>
    </r>
    <r>
      <rPr>
        <sz val="10"/>
        <color rgb="FF222222"/>
        <rFont val="맑은 고딕"/>
        <family val="3"/>
        <charset val="129"/>
      </rPr>
      <t>특히</t>
    </r>
    <r>
      <rPr>
        <sz val="10"/>
        <color rgb="FF222222"/>
        <rFont val="Arial"/>
        <family val="2"/>
      </rPr>
      <t xml:space="preserve"> '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금지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절대</t>
    </r>
    <r>
      <rPr>
        <sz val="10"/>
        <color rgb="FF222222"/>
        <rFont val="Arial"/>
        <family val="2"/>
      </rPr>
      <t xml:space="preserve">' </t>
    </r>
    <r>
      <rPr>
        <sz val="10"/>
        <color rgb="FF222222"/>
        <rFont val="맑은 고딕"/>
        <family val="3"/>
        <charset val="129"/>
      </rPr>
      <t>같은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강조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표현이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들어간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분류해줘</t>
    </r>
    <r>
      <rPr>
        <sz val="10"/>
        <color rgb="FF222222"/>
        <rFont val="Arial"/>
        <family val="2"/>
      </rPr>
      <t>.
--- (</t>
    </r>
    <r>
      <rPr>
        <sz val="10"/>
        <color rgb="FF222222"/>
        <rFont val="맑은 고딕"/>
        <family val="3"/>
        <charset val="129"/>
      </rPr>
      <t>여기에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같이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넣기</t>
    </r>
    <r>
      <rPr>
        <sz val="10"/>
        <color rgb="FF222222"/>
        <rFont val="Arial"/>
        <family val="2"/>
      </rPr>
      <t>) ---</t>
    </r>
    <phoneticPr fontId="17" type="noConversion"/>
  </si>
  <si>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제약/검토</t>
    </r>
    <r>
      <rPr>
        <sz val="10"/>
        <color rgb="FF222222"/>
        <rFont val="Arial"/>
        <family val="2"/>
      </rPr>
      <t xml:space="preserve"> 4</t>
    </r>
    <r>
      <rPr>
        <sz val="10"/>
        <color rgb="FF222222"/>
        <rFont val="맑은 고딕"/>
        <family val="3"/>
        <charset val="129"/>
      </rPr>
      <t>분류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phoneticPr fontId="17" type="noConversion"/>
  </si>
  <si>
    <r>
      <rPr>
        <sz val="10"/>
        <color rgb="FF222222"/>
        <rFont val="맑은 고딕"/>
        <family val="3"/>
        <charset val="129"/>
      </rPr>
      <t>위에서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확정한</t>
    </r>
    <r>
      <rPr>
        <sz val="10"/>
        <color rgb="FF222222"/>
        <rFont val="Arial"/>
        <family val="2"/>
      </rPr>
      <t xml:space="preserve"> MVP </t>
    </r>
    <r>
      <rPr>
        <sz val="10"/>
        <color rgb="FF222222"/>
        <rFont val="맑은 고딕"/>
        <family val="3"/>
        <charset val="129"/>
      </rPr>
      <t>범위를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바탕으로</t>
    </r>
    <r>
      <rPr>
        <sz val="10"/>
        <color rgb="FF222222"/>
        <rFont val="Arial"/>
        <family val="2"/>
      </rPr>
      <t xml:space="preserve"> WBS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작성해줘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오늘은</t>
    </r>
    <r>
      <rPr>
        <sz val="10"/>
        <color rgb="FF222222"/>
        <rFont val="Arial"/>
        <family val="2"/>
      </rPr>
      <t xml:space="preserve"> 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오늘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날짜로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이고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 xml:space="preserve">납기는
</t>
    </r>
    <r>
      <rPr>
        <sz val="10"/>
        <color rgb="FF222222"/>
        <rFont val="Arial"/>
        <family val="2"/>
      </rPr>
      <t>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납기로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 15</t>
    </r>
    <r>
      <rPr>
        <sz val="10"/>
        <color rgb="FF222222"/>
        <rFont val="맑은 고딕"/>
        <family val="3"/>
        <charset val="129"/>
      </rPr>
      <t>시야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대분류는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설계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배포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테스트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문서화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발표준비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나누고
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작업마다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작업명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담당자</t>
    </r>
    <r>
      <rPr>
        <sz val="10"/>
        <color rgb="FF222222"/>
        <rFont val="Arial"/>
        <family val="2"/>
      </rPr>
      <t>(FE/BE/</t>
    </r>
    <r>
      <rPr>
        <sz val="10"/>
        <color rgb="FF222222"/>
        <rFont val="맑은 고딕"/>
        <family val="3"/>
        <charset val="129"/>
      </rPr>
      <t>팀전체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시작일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종료일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선행작업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Arial"/>
        <family val="2"/>
      </rPr>
      <t>.</t>
    </r>
    <phoneticPr fontId="17" type="noConversion"/>
  </si>
  <si>
    <r>
      <rPr>
        <b/>
        <sz val="10"/>
        <color rgb="FF222222"/>
        <rFont val="Noto Sans CJK SC"/>
        <family val="2"/>
      </rPr>
      <t>①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요구사항분석</t>
    </r>
  </si>
  <si>
    <r>
      <rPr>
        <b/>
        <sz val="10"/>
        <color rgb="FF222222"/>
        <rFont val="Noto Sans CJK SC"/>
        <family val="2"/>
      </rPr>
      <t>②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아이디어도출</t>
    </r>
  </si>
  <si>
    <r>
      <rPr>
        <b/>
        <sz val="10"/>
        <color rgb="FF222222"/>
        <rFont val="Segoe UI Symbol"/>
        <family val="1"/>
      </rPr>
      <t>④</t>
    </r>
    <r>
      <rPr>
        <b/>
        <sz val="10"/>
        <color rgb="FF222222"/>
        <rFont val="Arial"/>
        <family val="2"/>
      </rPr>
      <t xml:space="preserve"> WBS(</t>
    </r>
    <r>
      <rPr>
        <b/>
        <sz val="10"/>
        <color rgb="FF222222"/>
        <rFont val="맑은 고딕"/>
        <family val="3"/>
        <charset val="129"/>
      </rPr>
      <t>작업분해구조</t>
    </r>
    <r>
      <rPr>
        <b/>
        <sz val="10"/>
        <color rgb="FF222222"/>
        <rFont val="Arial"/>
        <family val="2"/>
      </rPr>
      <t xml:space="preserve">)
</t>
    </r>
    <r>
      <rPr>
        <b/>
        <sz val="10"/>
        <color rgb="FF222222"/>
        <rFont val="맑은 고딕"/>
        <family val="3"/>
        <charset val="129"/>
      </rPr>
      <t>작성</t>
    </r>
    <phoneticPr fontId="17" type="noConversion"/>
  </si>
  <si>
    <t>이 프로젝트의 MVP 범위를 MoSCoW 방식으로 정리해줘._x000B_Must have는 개발 의뢰 문서(RFP)의 '필수' 항목 그대로, Should/Could have는 평가 결과를 고려,Won't have(이번엔 안 하는 것)도 명확히 구분해서 표로 만들어줘.--- (개발 의뢰 문서(RFP) 원문 전체 및 평가 결과 넣기) ---</t>
    <phoneticPr fontId="17" type="noConversion"/>
  </si>
  <si>
    <t>ㄴ</t>
    <phoneticPr fontId="17" type="noConversion"/>
  </si>
  <si>
    <r>
      <rPr>
        <sz val="10"/>
        <color rgb="FF222222"/>
        <rFont val="맑은 고딕"/>
        <family val="3"/>
        <charset val="129"/>
      </rPr>
      <t>우리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개발기간</t>
    </r>
    <r>
      <rPr>
        <sz val="10"/>
        <color rgb="FF222222"/>
        <rFont val="Noto Sans CJK SC"/>
        <family val="2"/>
      </rPr>
      <t xml:space="preserve"> 3</t>
    </r>
    <r>
      <rPr>
        <sz val="10"/>
        <color rgb="FF222222"/>
        <rFont val="맑은 고딕"/>
        <family val="3"/>
        <charset val="129"/>
      </rPr>
      <t>일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개발환경은</t>
    </r>
    <r>
      <rPr>
        <sz val="10"/>
        <color rgb="FF222222"/>
        <rFont val="Noto Sans CJK SC"/>
        <family val="2"/>
      </rPr>
      <t xml:space="preserve"> VSCode Copilot + OpenAI API</t>
    </r>
    <r>
      <rPr>
        <sz val="10"/>
        <color rgb="FF222222"/>
        <rFont val="맑은 고딕"/>
        <family val="3"/>
        <charset val="129"/>
      </rPr>
      <t>만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허용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맑은 고딕"/>
        <family val="3"/>
        <charset val="129"/>
      </rPr>
      <t>팀원은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신입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위주야</t>
    </r>
    <r>
      <rPr>
        <sz val="10"/>
        <color rgb="FF222222"/>
        <rFont val="Noto Sans CJK SC"/>
        <family val="2"/>
      </rPr>
      <t xml:space="preserve">.
</t>
    </r>
    <r>
      <rPr>
        <sz val="10"/>
        <color rgb="FF222222"/>
        <rFont val="맑은 고딕"/>
        <family val="3"/>
        <charset val="129"/>
      </rPr>
      <t>아래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선택기능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Noto Sans CJK SC"/>
        <family val="2"/>
      </rPr>
      <t xml:space="preserve"> N</t>
    </r>
    <r>
      <rPr>
        <sz val="10"/>
        <color rgb="FF222222"/>
        <rFont val="맑은 고딕"/>
        <family val="3"/>
        <charset val="129"/>
      </rPr>
      <t>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중에서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조건에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맞는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것을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추천하고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이유를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설명해줘</t>
    </r>
    <r>
      <rPr>
        <sz val="10"/>
        <color rgb="FF222222"/>
        <rFont val="Noto Sans CJK SC"/>
        <family val="2"/>
      </rPr>
      <t xml:space="preserve">:
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항목마다</t>
    </r>
    <r>
      <rPr>
        <sz val="10"/>
        <color rgb="FF222222"/>
        <rFont val="Noto Sans CJK SC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구현난이도</t>
    </r>
    <r>
      <rPr>
        <sz val="10"/>
        <color rgb="FF222222"/>
        <rFont val="Noto Sans CJK SC"/>
        <family val="2"/>
      </rPr>
      <t xml:space="preserve"> 1~5, </t>
    </r>
    <r>
      <rPr>
        <sz val="10"/>
        <color rgb="FF222222"/>
        <rFont val="맑은 고딕"/>
        <family val="2"/>
        <charset val="129"/>
      </rPr>
      <t>실현가능성</t>
    </r>
    <r>
      <rPr>
        <sz val="10"/>
        <color rgb="FF222222"/>
        <rFont val="Noto Sans CJK SC"/>
        <family val="2"/>
        <charset val="129"/>
      </rPr>
      <t>(</t>
    </r>
    <r>
      <rPr>
        <sz val="10"/>
        <color rgb="FF222222"/>
        <rFont val="맑은 고딕"/>
        <family val="2"/>
        <charset val="129"/>
      </rPr>
      <t>난이도가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낮을수록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높음</t>
    </r>
    <r>
      <rPr>
        <sz val="10"/>
        <color rgb="FF222222"/>
        <rFont val="Noto Sans CJK SC"/>
        <family val="2"/>
        <charset val="129"/>
      </rPr>
      <t>)</t>
    </r>
    <r>
      <rPr>
        <sz val="10"/>
        <color rgb="FF222222"/>
        <rFont val="맑은 고딕"/>
        <family val="2"/>
        <charset val="129"/>
      </rPr>
      <t>과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임팩트</t>
    </r>
    <r>
      <rPr>
        <sz val="10"/>
        <color rgb="FF222222"/>
        <rFont val="Noto Sans CJK SC"/>
        <family val="2"/>
        <charset val="129"/>
      </rPr>
      <t>(</t>
    </r>
    <r>
      <rPr>
        <sz val="10"/>
        <color rgb="FF222222"/>
        <rFont val="맑은 고딕"/>
        <family val="2"/>
        <charset val="129"/>
      </rPr>
      <t>사용자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체감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효과</t>
    </r>
    <r>
      <rPr>
        <sz val="10"/>
        <color rgb="FF222222"/>
        <rFont val="Noto Sans CJK SC"/>
        <family val="2"/>
        <charset val="129"/>
      </rPr>
      <t>)</t>
    </r>
    <r>
      <rPr>
        <sz val="10"/>
        <color rgb="FF222222"/>
        <rFont val="Noto Sans CJK SC"/>
        <family val="2"/>
      </rPr>
      <t>]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Noto Sans CJK SC"/>
        <family val="2"/>
      </rPr>
      <t>.</t>
    </r>
    <r>
      <rPr>
        <sz val="10"/>
        <color rgb="FF222222"/>
        <rFont val="Noto Sans CJK SC"/>
        <family val="3"/>
        <charset val="129"/>
      </rPr>
      <t xml:space="preserve">
--- (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</t>
    </r>
    <r>
      <rPr>
        <sz val="10"/>
        <color rgb="FF222222"/>
        <rFont val="Noto Sans CJK SC"/>
        <family val="2"/>
      </rPr>
      <t>) ---</t>
    </r>
    <phoneticPr fontId="17" type="noConversion"/>
  </si>
  <si>
    <t>개발 의뢰 문서(RFP) 근거</t>
  </si>
  <si>
    <t>검토 의견</t>
  </si>
  <si>
    <t>Must</t>
  </si>
  <si>
    <t>듀얼 경로 안내</t>
  </si>
  <si>
    <t>Vue.js 3 SPA</t>
  </si>
  <si>
    <t>Netlify 배포</t>
  </si>
  <si>
    <t>Should</t>
  </si>
  <si>
    <t>지도 시각화 선택 기능</t>
  </si>
  <si>
    <t>안전도 통계</t>
  </si>
  <si>
    <t>Could</t>
  </si>
  <si>
    <t>게시글 검색</t>
  </si>
  <si>
    <t>Won't</t>
  </si>
  <si>
    <t>광주광역시</t>
    <phoneticPr fontId="17" type="noConversion"/>
  </si>
  <si>
    <r>
      <rPr>
        <sz val="10"/>
        <color rgb="FF222222"/>
        <rFont val="돋움"/>
        <family val="3"/>
        <charset val="129"/>
      </rPr>
      <t>야간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보행자는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주변</t>
    </r>
    <r>
      <rPr>
        <sz val="10"/>
        <color rgb="FF222222"/>
        <rFont val="Noto Sans CJK SC"/>
        <family val="2"/>
      </rPr>
      <t xml:space="preserve"> CCTV, </t>
    </r>
    <r>
      <rPr>
        <sz val="10"/>
        <color rgb="FF222222"/>
        <rFont val="돋움"/>
        <family val="3"/>
        <charset val="129"/>
      </rPr>
      <t>경찰관서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등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치안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인프라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정보를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한눈에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확인하기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어렵고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돋움"/>
        <family val="3"/>
        <charset val="129"/>
      </rPr>
      <t>단순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최단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경로만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제공받아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안전한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귀갓길을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선택하기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어렵다</t>
    </r>
    <r>
      <rPr>
        <sz val="10"/>
        <color rgb="FF222222"/>
        <rFont val="Noto Sans CJK SC"/>
        <family val="2"/>
      </rPr>
      <t>.</t>
    </r>
    <phoneticPr fontId="17" type="noConversion"/>
  </si>
  <si>
    <r>
      <rPr>
        <sz val="10"/>
        <color rgb="FF222222"/>
        <rFont val="돋움"/>
        <family val="3"/>
        <charset val="129"/>
      </rPr>
      <t>야간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귀가를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하는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일반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시민
여성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Noto Sans CJK SC"/>
        <family val="2"/>
      </rPr>
      <t xml:space="preserve"> 1</t>
    </r>
    <r>
      <rPr>
        <sz val="10"/>
        <color rgb="FF222222"/>
        <rFont val="돋움"/>
        <family val="3"/>
        <charset val="129"/>
      </rPr>
      <t>인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가구
낯선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지역을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방문한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이용자
안전한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도보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경로가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필요한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사용자</t>
    </r>
    <phoneticPr fontId="17" type="noConversion"/>
  </si>
  <si>
    <r>
      <rPr>
        <sz val="10"/>
        <color rgb="FF222222"/>
        <rFont val="돋움"/>
        <family val="3"/>
        <charset val="129"/>
      </rPr>
      <t>필수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기능</t>
    </r>
    <r>
      <rPr>
        <sz val="10"/>
        <color rgb="FF222222"/>
        <rFont val="Noto Sans CJK SC"/>
        <family val="2"/>
      </rPr>
      <t xml:space="preserve"> 100% </t>
    </r>
    <r>
      <rPr>
        <sz val="10"/>
        <color rgb="FF222222"/>
        <rFont val="돋움"/>
        <family val="3"/>
        <charset val="129"/>
      </rPr>
      <t xml:space="preserve">구현
</t>
    </r>
    <r>
      <rPr>
        <sz val="10"/>
        <color rgb="FF222222"/>
        <rFont val="Noto Sans CJK SC"/>
        <family val="2"/>
      </rPr>
      <t xml:space="preserve">Vue3 </t>
    </r>
    <r>
      <rPr>
        <sz val="10"/>
        <color rgb="FF222222"/>
        <rFont val="돋움"/>
        <family val="3"/>
        <charset val="129"/>
      </rPr>
      <t>기반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프론트엔드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정상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 xml:space="preserve">동작
</t>
    </r>
    <r>
      <rPr>
        <sz val="10"/>
        <color rgb="FF222222"/>
        <rFont val="Noto Sans CJK SC"/>
        <family val="2"/>
      </rPr>
      <t xml:space="preserve">OpenAI </t>
    </r>
    <r>
      <rPr>
        <sz val="10"/>
        <color rgb="FF222222"/>
        <rFont val="돋움"/>
        <family val="3"/>
        <charset val="129"/>
      </rPr>
      <t>챗봇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정상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 xml:space="preserve">응답
</t>
    </r>
    <r>
      <rPr>
        <sz val="10"/>
        <color rgb="FF222222"/>
        <rFont val="Noto Sans CJK SC"/>
        <family val="2"/>
      </rPr>
      <t xml:space="preserve">Netlify </t>
    </r>
    <r>
      <rPr>
        <sz val="10"/>
        <color rgb="FF222222"/>
        <rFont val="돋움"/>
        <family val="3"/>
        <charset val="129"/>
      </rPr>
      <t>배포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완료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Noto Sans CJK SC"/>
        <family val="2"/>
      </rPr>
      <t xml:space="preserve"> URL </t>
    </r>
    <r>
      <rPr>
        <sz val="10"/>
        <color rgb="FF222222"/>
        <rFont val="돋움"/>
        <family val="3"/>
        <charset val="129"/>
      </rPr>
      <t>정상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 xml:space="preserve">동작
</t>
    </r>
    <r>
      <rPr>
        <sz val="10"/>
        <color rgb="FF222222"/>
        <rFont val="Noto Sans CJK SC"/>
        <family val="2"/>
      </rPr>
      <t xml:space="preserve">CCTV </t>
    </r>
    <r>
      <rPr>
        <sz val="10"/>
        <color rgb="FF222222"/>
        <rFont val="돋움"/>
        <family val="3"/>
        <charset val="129"/>
      </rPr>
      <t>기반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안전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경로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추천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기능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정상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시연</t>
    </r>
  </si>
  <si>
    <t>선정</t>
  </si>
  <si>
    <t>보류</t>
  </si>
  <si>
    <t>보류</t>
    <phoneticPr fontId="17" type="noConversion"/>
  </si>
  <si>
    <t>선정</t>
    <phoneticPr fontId="17" type="noConversion"/>
  </si>
  <si>
    <t>제외</t>
    <phoneticPr fontId="17" type="noConversion"/>
  </si>
  <si>
    <t>치안 기사 요약</t>
  </si>
  <si>
    <t>익명 커뮤니티 CRUD</t>
  </si>
  <si>
    <r>
      <t>1</t>
    </r>
    <r>
      <rPr>
        <sz val="11"/>
        <color theme="1"/>
        <rFont val="돋움"/>
        <family val="3"/>
        <charset val="129"/>
      </rPr>
      <t xml:space="preserve">순위
</t>
    </r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돋움"/>
        <family val="3"/>
        <charset val="129"/>
      </rPr>
      <t>안전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경로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추천</t>
    </r>
    <r>
      <rPr>
        <sz val="11"/>
        <color theme="1"/>
        <rFont val="Calibri"/>
        <family val="2"/>
        <charset val="1"/>
      </rPr>
      <t xml:space="preserve"> (</t>
    </r>
    <r>
      <rPr>
        <sz val="11"/>
        <color theme="1"/>
        <rFont val="돋움"/>
        <family val="3"/>
        <charset val="129"/>
      </rPr>
      <t>최단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경로</t>
    </r>
    <r>
      <rPr>
        <sz val="11"/>
        <color theme="1"/>
        <rFont val="Calibri"/>
        <family val="2"/>
        <charset val="1"/>
      </rPr>
      <t xml:space="preserve"> vs </t>
    </r>
    <r>
      <rPr>
        <sz val="11"/>
        <color theme="1"/>
        <rFont val="돋움"/>
        <family val="3"/>
        <charset val="129"/>
      </rPr>
      <t>최고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안전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경로</t>
    </r>
    <r>
      <rPr>
        <sz val="11"/>
        <color theme="1"/>
        <rFont val="Calibri"/>
        <family val="2"/>
        <charset val="1"/>
      </rPr>
      <t xml:space="preserve">)
2. CCTV </t>
    </r>
    <r>
      <rPr>
        <sz val="11"/>
        <color theme="1"/>
        <rFont val="돋움"/>
        <family val="3"/>
        <charset val="129"/>
      </rPr>
      <t>사각지대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탐지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 xml:space="preserve">경고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돋움"/>
        <family val="3"/>
        <charset val="129"/>
      </rPr>
      <t>치안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 xml:space="preserve">히트맵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돋움"/>
        <family val="3"/>
        <charset val="129"/>
      </rPr>
      <t>범죄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예방</t>
    </r>
    <r>
      <rPr>
        <sz val="11"/>
        <color theme="1"/>
        <rFont val="Calibri"/>
        <family val="2"/>
        <charset val="1"/>
      </rPr>
      <t xml:space="preserve"> AI </t>
    </r>
    <r>
      <rPr>
        <sz val="11"/>
        <color theme="1"/>
        <rFont val="돋움"/>
        <family val="3"/>
        <charset val="129"/>
      </rPr>
      <t xml:space="preserve">챗봇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돋움"/>
        <family val="3"/>
        <charset val="129"/>
      </rPr>
      <t>익명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커뮤니티</t>
    </r>
    <r>
      <rPr>
        <sz val="11"/>
        <color theme="1"/>
        <rFont val="Calibri"/>
        <family val="2"/>
        <charset val="1"/>
      </rPr>
      <t xml:space="preserve"> CRUD</t>
    </r>
    <phoneticPr fontId="17" type="noConversion"/>
  </si>
  <si>
    <t>개발</t>
    <phoneticPr fontId="17" type="noConversion"/>
  </si>
  <si>
    <t>팀전체</t>
  </si>
  <si>
    <t>완료</t>
  </si>
  <si>
    <t>선정 권역 제공 JSON 활용</t>
  </si>
  <si>
    <t>광주·전라권 제공 JSON을 프론트엔드에서 직접 불러와 지역정보 서비스에 활용</t>
  </si>
  <si>
    <t>RFP Ⅰ·Ⅲ 제공 데이터 활용</t>
  </si>
  <si>
    <t>현재 CCTV·경찰·뉴스 데이터로 변경하여 승인 필요</t>
  </si>
  <si>
    <t>데이터 출처·라이선스 목록</t>
  </si>
  <si>
    <t>출처 URL, 라이선스·공공누리 유형, 기준일, 수집일을 기능명세서에 기록</t>
  </si>
  <si>
    <t>RFP Ⅲ-제공 데이터 활용</t>
  </si>
  <si>
    <t>목록 보완 필요</t>
  </si>
  <si>
    <t>회원가입 없이 게시글 목록·상세·작성·수정·삭제 제공</t>
  </si>
  <si>
    <t>RFP Ⅲ 커뮤니티 기능</t>
  </si>
  <si>
    <t>구현 완료</t>
  </si>
  <si>
    <t>수정·삭제 비밀번호</t>
  </si>
  <si>
    <t>LocalStorage에 비밀번호를 저장하고 수정·삭제 시 일치 여부 확인</t>
  </si>
  <si>
    <t>구현 완료(교육용 평문 저장 구조)</t>
  </si>
  <si>
    <t>지역정보 AI 챗봇</t>
  </si>
  <si>
    <t>제공 데이터 기반 질의응답, 대화 이력, 모바일 대응, 플로팅 UI</t>
  </si>
  <si>
    <t>RFP Ⅲ 챗봇 기능</t>
  </si>
  <si>
    <t>안전·치안 데이터 기반으로 구현</t>
  </si>
  <si>
    <t>Vue 3과 Vite 기반 단일 페이지 애플리케이션</t>
  </si>
  <si>
    <t>RFP Ⅲ 프론트엔드</t>
  </si>
  <si>
    <t>외부 접속 가능한 Netlify URL을 산출물에 포함</t>
  </si>
  <si>
    <t>RFP Ⅲ·Ⅳ 배포</t>
  </si>
  <si>
    <t>설정 완료, 실제 URL 확인 필요</t>
  </si>
  <si>
    <t>GitLab 제출·.env 제외</t>
  </si>
  <si>
    <t>SSAFY GitLab에 소스·문서·PPT 제출, 실제 키가 든 .env 제외</t>
  </si>
  <si>
    <t>RFP Ⅱ·Ⅳ 산출물</t>
  </si>
  <si>
    <t>현재 GitHub 원격 사용, GitLab 제출 확인 필요</t>
  </si>
  <si>
    <t>Constraint</t>
  </si>
  <si>
    <t>AI 도구 정책</t>
  </si>
  <si>
    <t>허용된 개발 도구와 API 키 정책 준수 여부 확인</t>
  </si>
  <si>
    <t>RFP Ⅲ 개발환경 정책</t>
  </si>
  <si>
    <t>Codex 등 금지 도구 적용 여부 확인 필요</t>
  </si>
  <si>
    <t>CCTV·경찰시설 안전지도</t>
  </si>
  <si>
    <t>현재 위치 주변 CCTV와 경찰시설을 Kakao 지도에 표시</t>
  </si>
  <si>
    <t>TMAP 후보 중 최단 경로와 안전 점수가 높은 경로를 비교</t>
  </si>
  <si>
    <t>경로 안내 선택 기능</t>
  </si>
  <si>
    <t>사각지대 경고</t>
  </si>
  <si>
    <t>경로 주변에 CCTV·경찰시설이 없는 구간을 탐지</t>
  </si>
  <si>
    <t>팀 선정 확장 기능</t>
  </si>
  <si>
    <t>치안 밀도 시각화</t>
  </si>
  <si>
    <t>CCTV 밀집 구간을 지도 원형 레이어로 표시</t>
  </si>
  <si>
    <t>지도·데이터 시각화</t>
  </si>
  <si>
    <t>구현 완료(밀도 레이어)</t>
  </si>
  <si>
    <t>사전 수집한 광주 치안 기사와 예방 정보를 챗봇에서 제공</t>
  </si>
  <si>
    <t>최근 검색·레이어 토글</t>
  </si>
  <si>
    <t>최근 목적지 저장 및 CCTV·치안 밀도 표시 여부 선택</t>
  </si>
  <si>
    <t>사용자 편의 기능</t>
  </si>
  <si>
    <t>안전 통계·게시글 검색</t>
  </si>
  <si>
    <t>CCTV·경찰시설 전체 통계와 제목·본문 게시글 검색</t>
  </si>
  <si>
    <t>데이터·커뮤니티 추가 기능</t>
  </si>
  <si>
    <t>통계 부분 구현, 검색 완료</t>
  </si>
  <si>
    <t>회원가입·상시 DB</t>
  </si>
  <si>
    <t>사용자 인증과 별도 상시 서버·데이터베이스를 구축하지 않음</t>
  </si>
  <si>
    <t>익명 정적 SPA 요구</t>
  </si>
  <si>
    <t>제외, 챗봇용 Netlify Function만 사용</t>
  </si>
  <si>
    <t>실시간 기능</t>
  </si>
  <si>
    <t>실시간 CCTV 영상·뉴스 수집·위치 공유·푸시 알림을 제공하지 않음</t>
  </si>
  <si>
    <t>데이터 범위·일정 제약</t>
  </si>
  <si>
    <t>사전 수집 JSON만 활용</t>
  </si>
  <si>
    <t>안전지도</t>
  </si>
  <si>
    <t>CCTV와 경찰시설 위치를 Kakao 지도에 표시</t>
  </si>
  <si>
    <t>안전 경로 추천</t>
  </si>
  <si>
    <t>TMAP 후보를 CCTV·경찰시설·사각지대·시간으로 평가</t>
  </si>
  <si>
    <t>사각지대 알림</t>
  </si>
  <si>
    <t>경로 주변 안전시설이 부족한 구간을 탐지해 경고</t>
  </si>
  <si>
    <t>치안 밀도 레이어</t>
  </si>
  <si>
    <t>CCTV 밀집 구간을 지도 원형 레이어로 시각화</t>
  </si>
  <si>
    <t>최근 검색·레이어</t>
  </si>
  <si>
    <t>최근 목적지 저장 및 지도 레이어 ON/OFF</t>
  </si>
  <si>
    <t>CCTV·경찰시설 수 등 안전 통계 제공</t>
  </si>
  <si>
    <t>제목과 본문을 기준으로 커뮤니티 게시글 검색</t>
  </si>
  <si>
    <t>[승인 필요] 제공 광주·전라 JSON 대신 CCTV·경찰·치안 기사 데이터 활용</t>
  </si>
  <si>
    <t>[보완 필요] 데이터 출처·URL·라이선스·기준일·수집일 목록</t>
  </si>
  <si>
    <t>[완료] LocalStorage 익명 커뮤니티 CRUD 및 비밀번호 확인</t>
  </si>
  <si>
    <t>[구조 변경] 안전 챗봇은 Netlify Function에서 OpenAI API 호출</t>
  </si>
  <si>
    <t>[확인 필요] Vue 3 SPA 완료, Netlify URL·SSAFY GitLab 제출 확인</t>
  </si>
  <si>
    <t>[완료] CCTV·경찰시설 안전지도 및 CCTV 밀도 시각화 레이어</t>
  </si>
  <si>
    <t>[완료] TMAP 최단·안전 우선 경로, 사각지대 경고, 단계별 길안내</t>
  </si>
  <si>
    <t>[완료] 치안 기사 요약·최근 검색·레이어 토글·게시글 검색 / [부분] 안전 통계</t>
  </si>
  <si>
    <t>회원가입·로그인 및 별도 상시 백엔드·데이터베이스</t>
  </si>
  <si>
    <t>실시간 CCTV 영상·뉴스 수집·위치 공유·푸시 알림</t>
  </si>
  <si>
    <t>즐겨찾기·야간 모드·광주 외 다중 지역 서비스</t>
  </si>
  <si>
    <t>RFP 분석 및 실제 구현 차이 확인</t>
  </si>
  <si>
    <t>safe_nav MVP 및 기능 우선순위 확정</t>
  </si>
  <si>
    <t>김지명</t>
  </si>
  <si>
    <t>화면 UI·사용자 흐름 및 지도 구조 설계</t>
  </si>
  <si>
    <t>전준혁</t>
  </si>
  <si>
    <t>데이터 출처·라이선스·수집일 조사</t>
  </si>
  <si>
    <t>정용철</t>
  </si>
  <si>
    <t>CCTV·경찰시설·치안 기사 정제 및 좌표 처리</t>
  </si>
  <si>
    <t>익명 커뮤니티 CRUD 구현</t>
  </si>
  <si>
    <t>CCTV·경찰시설 안전지도와 치안 밀도 구현</t>
  </si>
  <si>
    <t>최단·안전 경로 및 사각지대 분석 구현</t>
  </si>
  <si>
    <t>OpenAI 안전 챗봇·Netlify Function 구현</t>
  </si>
  <si>
    <t>지도·경로·커뮤니티·챗봇 통합 테스트</t>
  </si>
  <si>
    <t>RFP 변경사항·AI 도구 정책 승인 확인</t>
  </si>
  <si>
    <t>Netlify 배포 및 외부 접속 URL 확인</t>
  </si>
  <si>
    <t>기능명세서·데이터 출처·라이선스 보완</t>
  </si>
  <si>
    <t>PPT·시연 리허설 및 SSAFY GitLab 최종 제출</t>
  </si>
  <si>
    <t>jovial-phoenix-52d898.netlify.app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</si>
</sst>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"/>
  </numFmts>
  <fonts count="48">
    <font>
      <sz val="11"/>
      <color theme="1"/>
      <name val="Calibri"/>
      <family val="2"/>
      <charset val="1"/>
    </font>
    <font>
      <b/>
      <sz val="10"/>
      <color rgb="FF222222"/>
      <name val="Noto Sans CJK SC"/>
      <family val="2"/>
    </font>
    <font>
      <sz val="10"/>
      <color rgb="FF222222"/>
      <name val="Noto Sans CJK SC"/>
      <family val="2"/>
    </font>
    <font>
      <sz val="10"/>
      <color rgb="FF222222"/>
      <name val="Arial"/>
      <family val="2"/>
    </font>
    <font>
      <b/>
      <sz val="10"/>
      <color rgb="FF222222"/>
      <name val="Arial"/>
      <family val="2"/>
    </font>
    <font>
      <b/>
      <sz val="16"/>
      <color rgb="FFFFFFFF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222222"/>
      <name val="Arial"/>
      <family val="2"/>
    </font>
    <font>
      <sz val="9"/>
      <color rgb="FF222222"/>
      <name val="Noto Sans CJK SC"/>
      <family val="2"/>
    </font>
    <font>
      <b/>
      <sz val="9"/>
      <color rgb="FFFFFFFF"/>
      <name val="Noto Sans CJK SC"/>
      <family val="2"/>
    </font>
    <font>
      <b/>
      <sz val="9"/>
      <color rgb="FFFFFFFF"/>
      <name val="Arial"/>
      <family val="2"/>
    </font>
    <font>
      <b/>
      <sz val="9"/>
      <color rgb="FF222222"/>
      <name val="Noto Sans CJK SC"/>
      <family val="2"/>
    </font>
    <font>
      <b/>
      <sz val="9"/>
      <color rgb="FF222222"/>
      <name val="Arial"/>
      <family val="2"/>
    </font>
    <font>
      <b/>
      <sz val="15"/>
      <color rgb="FFFFFFFF"/>
      <name val="Arial"/>
      <family val="2"/>
    </font>
    <font>
      <sz val="8"/>
      <color rgb="FF222222"/>
      <name val="Arial"/>
      <family val="2"/>
    </font>
    <font>
      <sz val="8"/>
      <name val="돋움"/>
      <family val="3"/>
      <charset val="129"/>
    </font>
    <font>
      <sz val="9"/>
      <color rgb="FF222222"/>
      <name val="맑은 고딕"/>
      <family val="3"/>
      <charset val="129"/>
    </font>
    <font>
      <b/>
      <sz val="18"/>
      <color rgb="FFFFFFFF"/>
      <name val="Arial"/>
      <family val="2"/>
    </font>
    <font>
      <b/>
      <sz val="18"/>
      <color rgb="FFFFFFFF"/>
      <name val="맑은 고딕"/>
      <family val="3"/>
      <charset val="129"/>
    </font>
    <font>
      <b/>
      <sz val="18"/>
      <color rgb="FFFFFFFF"/>
      <name val="맑은 고딕"/>
      <family val="2"/>
      <charset val="129"/>
    </font>
    <font>
      <b/>
      <sz val="10"/>
      <color rgb="FF222222"/>
      <name val="Noto Sans CJK SC"/>
      <family val="3"/>
      <charset val="129"/>
    </font>
    <font>
      <b/>
      <sz val="10"/>
      <color rgb="FF222222"/>
      <name val="맑은 고딕"/>
      <family val="3"/>
      <charset val="129"/>
    </font>
    <font>
      <b/>
      <sz val="10"/>
      <color rgb="FF222222"/>
      <name val="맑은 고딕"/>
      <family val="2"/>
      <charset val="129"/>
    </font>
    <font>
      <sz val="10"/>
      <color rgb="FF222222"/>
      <name val="Noto Sans CJK SC"/>
      <family val="3"/>
      <charset val="129"/>
    </font>
    <font>
      <sz val="10"/>
      <color rgb="FF222222"/>
      <name val="맑은 고딕"/>
      <family val="3"/>
      <charset val="129"/>
    </font>
    <font>
      <sz val="10"/>
      <color rgb="FF222222"/>
      <name val="Noto Sans CJK SC"/>
      <family val="2"/>
      <charset val="129"/>
    </font>
    <font>
      <sz val="10"/>
      <color rgb="FF222222"/>
      <name val="맑은 고딕"/>
      <family val="2"/>
      <charset val="129"/>
    </font>
    <font>
      <b/>
      <sz val="9"/>
      <color rgb="FF222222"/>
      <name val="맑은 고딕"/>
      <family val="3"/>
      <charset val="129"/>
    </font>
    <font>
      <b/>
      <sz val="9"/>
      <color rgb="FF222222"/>
      <name val="Noto Sans CJK SC"/>
      <family val="3"/>
      <charset val="129"/>
    </font>
    <font>
      <b/>
      <sz val="11"/>
      <color rgb="FF222222"/>
      <name val="맑은 고딕"/>
      <family val="3"/>
      <charset val="129"/>
    </font>
    <font>
      <b/>
      <sz val="11"/>
      <color rgb="FF222222"/>
      <name val="Arial"/>
      <family val="2"/>
    </font>
    <font>
      <b/>
      <sz val="9"/>
      <name val="Noto Sans CJK SC"/>
      <family val="2"/>
    </font>
    <font>
      <sz val="8"/>
      <color rgb="FF222222"/>
      <name val="맑은 고딕"/>
      <family val="2"/>
      <charset val="129"/>
    </font>
    <font>
      <b/>
      <sz val="8"/>
      <name val="Arial"/>
      <family val="2"/>
    </font>
    <font>
      <sz val="11"/>
      <color rgb="FF222222"/>
      <name val="Arial"/>
      <family val="2"/>
    </font>
    <font>
      <sz val="11"/>
      <color rgb="FF222222"/>
      <name val="맑은 고딕"/>
      <family val="3"/>
      <charset val="129"/>
    </font>
    <font>
      <b/>
      <sz val="10"/>
      <color rgb="FF222222"/>
      <name val="Arial"/>
      <family val="1"/>
    </font>
    <font>
      <b/>
      <sz val="10"/>
      <color rgb="FF222222"/>
      <name val="Segoe UI Symbol"/>
      <family val="1"/>
    </font>
    <font>
      <sz val="11"/>
      <color theme="1"/>
      <name val="맑은 고딕"/>
      <family val="2"/>
      <charset val="129"/>
    </font>
    <font>
      <sz val="10"/>
      <color rgb="FF222222"/>
      <name val="돋움"/>
      <family val="3"/>
      <charset val="129"/>
    </font>
    <font>
      <sz val="10"/>
      <color rgb="FF222222"/>
      <name val="Arial"/>
      <family val="3"/>
      <charset val="129"/>
    </font>
    <font>
      <sz val="11"/>
      <color theme="1"/>
      <name val="돋움"/>
      <family val="3"/>
      <charset val="129"/>
    </font>
    <font>
      <b/>
      <sz val="10"/>
      <color rgb="FF222222"/>
      <name val="돋움"/>
      <family val="3"/>
      <charset val="129"/>
    </font>
    <font>
      <sz val="10"/>
      <color rgb="FF222222"/>
      <name val="Noto Sans CJK SC"/>
    </font>
    <font>
      <b/>
      <sz val="10"/>
      <color rgb="FF222222"/>
      <name val="Noto Sans CJK SC"/>
    </font>
    <font>
      <u/>
      <sz val="11"/>
      <color theme="10"/>
      <name val="Calibri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rgb="FF1E2761"/>
        <bgColor rgb="FF222222"/>
      </patternFill>
    </fill>
    <fill>
      <patternFill patternType="solid">
        <fgColor rgb="FFF2F2F2"/>
        <bgColor rgb="FFFFFFFF"/>
      </patternFill>
    </fill>
    <fill>
      <patternFill patternType="solid">
        <fgColor rgb="FFCADCFC"/>
        <bgColor rgb="FFD0E0E3"/>
      </patternFill>
    </fill>
    <fill>
      <patternFill patternType="solid">
        <fgColor rgb="FFF5C6C6"/>
        <bgColor rgb="FFF4CCCC"/>
      </patternFill>
    </fill>
    <fill>
      <patternFill patternType="solid">
        <fgColor rgb="FFFCE9B0"/>
        <bgColor rgb="FFF9E4B7"/>
      </patternFill>
    </fill>
    <fill>
      <patternFill patternType="solid">
        <fgColor rgb="FFFFC000"/>
        <bgColor rgb="FFFF9900"/>
      </patternFill>
    </fill>
    <fill>
      <patternFill patternType="solid">
        <fgColor rgb="FFD9EAD3"/>
        <bgColor rgb="FFD0E0E3"/>
      </patternFill>
    </fill>
    <fill>
      <patternFill patternType="solid">
        <fgColor rgb="FFF8CBAD"/>
        <bgColor rgb="FFF5C6C6"/>
      </patternFill>
    </fill>
    <fill>
      <patternFill patternType="solid">
        <fgColor rgb="FFF4CCCC"/>
        <bgColor rgb="FFF5C6C6"/>
      </patternFill>
    </fill>
    <fill>
      <patternFill patternType="solid">
        <fgColor rgb="FFFCE5CD"/>
        <bgColor rgb="FFF9E4B7"/>
      </patternFill>
    </fill>
    <fill>
      <patternFill patternType="solid">
        <fgColor rgb="FFE4D6F0"/>
        <bgColor rgb="FFD0E0E3"/>
      </patternFill>
    </fill>
    <fill>
      <patternFill patternType="solid">
        <fgColor rgb="FFD0E0E3"/>
        <bgColor rgb="FFCADCFC"/>
      </patternFill>
    </fill>
    <fill>
      <patternFill patternType="solid">
        <fgColor rgb="FFF9E4B7"/>
        <bgColor rgb="FFFCE9B0"/>
      </patternFill>
    </fill>
    <fill>
      <patternFill patternType="solid">
        <fgColor rgb="FF028090"/>
        <bgColor rgb="FF008080"/>
      </patternFill>
    </fill>
    <fill>
      <patternFill patternType="solid">
        <fgColor rgb="FFFFC000"/>
        <bgColor rgb="FF222222"/>
      </patternFill>
    </fill>
    <fill>
      <patternFill patternType="solid">
        <fgColor rgb="FFFFC000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</borders>
  <cellStyleXfs count="2">
    <xf numFmtId="0" fontId="0" fillId="0" borderId="0"/>
    <xf numFmtId="0" fontId="47" fillId="0" borderId="0" applyNumberFormat="0" applyFill="0" applyBorder="0" applyAlignment="0" applyProtection="0"/>
  </cellStyleXfs>
  <cellXfs count="93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/>
    <xf numFmtId="0" fontId="11" fillId="2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33" fillId="16" borderId="1" xfId="0" applyFont="1" applyFill="1" applyBorder="1" applyAlignment="1">
      <alignment horizontal="center" vertical="center" wrapText="1"/>
    </xf>
    <xf numFmtId="0" fontId="29" fillId="7" borderId="1" xfId="0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38" fillId="3" borderId="1" xfId="0" applyFont="1" applyFill="1" applyBorder="1" applyAlignment="1">
      <alignment horizontal="center" vertical="center" wrapText="1"/>
    </xf>
    <xf numFmtId="0" fontId="40" fillId="0" borderId="0" xfId="0" applyFont="1"/>
    <xf numFmtId="0" fontId="0" fillId="0" borderId="0" xfId="0"/>
    <xf numFmtId="0" fontId="1" fillId="11" borderId="5" xfId="0" applyFont="1" applyFill="1" applyBorder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1" fillId="13" borderId="5" xfId="0" applyFont="1" applyFill="1" applyBorder="1" applyAlignment="1">
      <alignment horizontal="center" vertical="center" wrapText="1"/>
    </xf>
    <xf numFmtId="0" fontId="1" fillId="14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41" fillId="0" borderId="1" xfId="0" applyFont="1" applyBorder="1" applyAlignment="1">
      <alignment horizontal="left" vertical="center" wrapText="1"/>
    </xf>
    <xf numFmtId="0" fontId="43" fillId="0" borderId="0" xfId="0" applyFont="1"/>
    <xf numFmtId="0" fontId="41" fillId="0" borderId="1" xfId="0" applyFont="1" applyBorder="1" applyAlignment="1">
      <alignment horizontal="center" vertical="center" wrapText="1"/>
    </xf>
    <xf numFmtId="0" fontId="44" fillId="11" borderId="5" xfId="0" applyFont="1" applyFill="1" applyBorder="1" applyAlignment="1">
      <alignment horizontal="center" vertical="center" wrapText="1"/>
    </xf>
    <xf numFmtId="0" fontId="45" fillId="0" borderId="1" xfId="0" applyFont="1" applyBorder="1" applyAlignment="1">
      <alignment horizontal="left" vertical="center" wrapText="1"/>
    </xf>
    <xf numFmtId="0" fontId="46" fillId="0" borderId="1" xfId="0" applyFont="1" applyBorder="1" applyAlignment="1">
      <alignment horizontal="left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6" fontId="35" fillId="17" borderId="1" xfId="0" applyNumberFormat="1" applyFont="1" applyFill="1" applyBorder="1" applyAlignment="1">
      <alignment horizontal="center" vertical="center" wrapText="1"/>
    </xf>
    <xf numFmtId="0" fontId="47" fillId="0" borderId="0" xfId="1"/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2" fillId="4" borderId="1" xfId="0" applyFont="1" applyFill="1" applyBorder="1" applyAlignment="1">
      <alignment wrapText="1"/>
    </xf>
    <xf numFmtId="0" fontId="0" fillId="0" borderId="3" xfId="0" applyBorder="1"/>
    <xf numFmtId="0" fontId="1" fillId="5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0" fillId="0" borderId="4" xfId="0" applyBorder="1"/>
    <xf numFmtId="0" fontId="5" fillId="2" borderId="0" xfId="0" applyFont="1" applyFill="1" applyAlignment="1">
      <alignment horizontal="left" vertical="center" indent="1"/>
    </xf>
    <xf numFmtId="0" fontId="0" fillId="0" borderId="0" xfId="0"/>
    <xf numFmtId="0" fontId="4" fillId="6" borderId="1" xfId="0" applyFont="1" applyFill="1" applyBorder="1"/>
    <xf numFmtId="0" fontId="8" fillId="2" borderId="0" xfId="0" applyFont="1" applyFill="1" applyAlignment="1">
      <alignment horizontal="left" vertical="center" indent="1"/>
    </xf>
    <xf numFmtId="0" fontId="3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4" fillId="9" borderId="2" xfId="0" applyFont="1" applyFill="1" applyBorder="1" applyAlignment="1">
      <alignment horizontal="left"/>
    </xf>
    <xf numFmtId="0" fontId="4" fillId="9" borderId="3" xfId="0" applyFont="1" applyFill="1" applyBorder="1" applyAlignment="1">
      <alignment horizontal="left"/>
    </xf>
    <xf numFmtId="0" fontId="9" fillId="0" borderId="1" xfId="0" applyFont="1" applyBorder="1" applyAlignment="1">
      <alignment horizontal="left" vertical="center" wrapText="1"/>
    </xf>
    <xf numFmtId="0" fontId="42" fillId="0" borderId="2" xfId="0" applyFont="1" applyBorder="1" applyAlignment="1">
      <alignment horizontal="left" vertical="center" wrapText="1"/>
    </xf>
    <xf numFmtId="0" fontId="42" fillId="0" borderId="3" xfId="0" applyFont="1" applyBorder="1" applyAlignment="1">
      <alignment horizontal="left" vertical="center" wrapText="1"/>
    </xf>
    <xf numFmtId="0" fontId="4" fillId="10" borderId="2" xfId="0" applyFont="1" applyFill="1" applyBorder="1" applyAlignment="1">
      <alignment horizontal="left"/>
    </xf>
    <xf numFmtId="0" fontId="4" fillId="10" borderId="3" xfId="0" applyFont="1" applyFill="1" applyBorder="1" applyAlignment="1">
      <alignment horizontal="left"/>
    </xf>
    <xf numFmtId="0" fontId="4" fillId="8" borderId="2" xfId="0" applyFont="1" applyFill="1" applyBorder="1" applyAlignment="1">
      <alignment horizontal="left"/>
    </xf>
    <xf numFmtId="0" fontId="4" fillId="8" borderId="3" xfId="0" applyFont="1" applyFill="1" applyBorder="1" applyAlignment="1">
      <alignment horizontal="left"/>
    </xf>
    <xf numFmtId="0" fontId="16" fillId="0" borderId="1" xfId="0" applyFont="1" applyBorder="1" applyAlignment="1">
      <alignment horizontal="left" vertical="center" wrapText="1"/>
    </xf>
    <xf numFmtId="0" fontId="15" fillId="2" borderId="0" xfId="0" applyFont="1" applyFill="1" applyAlignment="1">
      <alignment horizontal="left" vertical="center" indent="1"/>
    </xf>
    <xf numFmtId="0" fontId="23" fillId="3" borderId="5" xfId="0" applyFont="1" applyFill="1" applyBorder="1" applyAlignment="1">
      <alignment horizontal="center"/>
    </xf>
    <xf numFmtId="0" fontId="23" fillId="3" borderId="0" xfId="0" applyFont="1" applyFill="1" applyAlignment="1">
      <alignment horizontal="center"/>
    </xf>
    <xf numFmtId="0" fontId="1" fillId="4" borderId="5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15" borderId="5" xfId="0" applyFont="1" applyFill="1" applyBorder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13" borderId="5" xfId="0" applyFont="1" applyFill="1" applyBorder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4" borderId="5" xfId="0" applyFont="1" applyFill="1" applyBorder="1" applyAlignment="1">
      <alignment horizontal="center" vertical="center" wrapText="1"/>
    </xf>
    <xf numFmtId="0" fontId="1" fillId="14" borderId="0" xfId="0" applyFont="1" applyFill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2">
    <dxf>
      <fill>
        <patternFill patternType="solid">
          <fgColor rgb="FF028090"/>
          <bgColor rgb="FF028090"/>
        </patternFill>
      </fill>
    </dxf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E4B7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CCCCCC"/>
      <rgbColor rgb="FF808080"/>
      <rgbColor rgb="FF9999FF"/>
      <rgbColor rgb="FF993366"/>
      <rgbColor rgb="FFF2F2F2"/>
      <rgbColor rgb="FFD0E0E3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6F0"/>
      <rgbColor rgb="FFD9EAD3"/>
      <rgbColor rgb="FFFCE9B0"/>
      <rgbColor rgb="FFFCE5CD"/>
      <rgbColor rgb="FFF5C6C6"/>
      <rgbColor rgb="FFF4CCCC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jovial-phoenix-52d898.netlify.app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1"/>
  <sheetViews>
    <sheetView showGridLines="0" zoomScaleNormal="100" workbookViewId="0"/>
  </sheetViews>
  <sheetFormatPr defaultColWidth="8.7109375" defaultRowHeight="15"/>
  <cols>
    <col min="1" max="1" width="4" customWidth="1"/>
    <col min="2" max="2" width="22" customWidth="1"/>
    <col min="3" max="3" width="79.140625" customWidth="1"/>
    <col min="4" max="8" width="4" customWidth="1"/>
  </cols>
  <sheetData>
    <row r="2" spans="2:3" ht="31.5" customHeight="1">
      <c r="B2" s="50" t="s">
        <v>110</v>
      </c>
      <c r="C2" s="50"/>
    </row>
    <row r="4" spans="2:3" ht="19.5" customHeight="1">
      <c r="B4" s="14" t="s">
        <v>111</v>
      </c>
      <c r="C4" s="15" t="s">
        <v>112</v>
      </c>
    </row>
    <row r="5" spans="2:3" ht="36.950000000000003" customHeight="1">
      <c r="B5" s="1" t="s">
        <v>0</v>
      </c>
      <c r="C5" s="15" t="s">
        <v>113</v>
      </c>
    </row>
    <row r="6" spans="2:3" ht="19.5" customHeight="1">
      <c r="B6" s="1" t="s">
        <v>1</v>
      </c>
      <c r="C6" s="3" t="s">
        <v>114</v>
      </c>
    </row>
    <row r="7" spans="2:3" ht="19.5" customHeight="1">
      <c r="B7" s="1" t="s">
        <v>2</v>
      </c>
      <c r="C7" s="3" t="s">
        <v>115</v>
      </c>
    </row>
    <row r="9" spans="2:3" ht="15" customHeight="1">
      <c r="B9" s="46" t="s">
        <v>116</v>
      </c>
      <c r="C9" s="47"/>
    </row>
    <row r="10" spans="2:3" ht="27">
      <c r="B10" s="4" t="s">
        <v>3</v>
      </c>
      <c r="C10" s="15" t="s">
        <v>117</v>
      </c>
    </row>
    <row r="11" spans="2:3" ht="40.5">
      <c r="B11" s="4" t="s">
        <v>118</v>
      </c>
      <c r="C11" s="15" t="s">
        <v>119</v>
      </c>
    </row>
    <row r="12" spans="2:3" ht="33.75" customHeight="1">
      <c r="B12" s="4" t="s">
        <v>120</v>
      </c>
      <c r="C12" s="2" t="s">
        <v>121</v>
      </c>
    </row>
    <row r="13" spans="2:3" ht="33.75" customHeight="1">
      <c r="B13" s="4" t="s">
        <v>122</v>
      </c>
      <c r="C13" s="3" t="s">
        <v>123</v>
      </c>
    </row>
    <row r="14" spans="2:3" ht="33.75" customHeight="1">
      <c r="B14" s="4" t="s">
        <v>124</v>
      </c>
      <c r="C14" s="2" t="s">
        <v>125</v>
      </c>
    </row>
    <row r="15" spans="2:3" ht="33.75" customHeight="1">
      <c r="B15" s="4" t="s">
        <v>4</v>
      </c>
      <c r="C15" s="15" t="s">
        <v>126</v>
      </c>
    </row>
    <row r="17" spans="2:3" ht="15" customHeight="1">
      <c r="B17" s="48" t="s">
        <v>5</v>
      </c>
      <c r="C17" s="49"/>
    </row>
    <row r="18" spans="2:3" ht="27.75" customHeight="1">
      <c r="B18" s="51" t="s">
        <v>127</v>
      </c>
      <c r="C18" s="52"/>
    </row>
    <row r="19" spans="2:3" ht="27.75" customHeight="1">
      <c r="B19" s="44" t="s">
        <v>7</v>
      </c>
      <c r="C19" s="45"/>
    </row>
    <row r="20" spans="2:3" ht="27.75" customHeight="1">
      <c r="B20" s="44" t="s">
        <v>8</v>
      </c>
      <c r="C20" s="45"/>
    </row>
    <row r="21" spans="2:3" ht="27.75" customHeight="1"/>
  </sheetData>
  <mergeCells count="6">
    <mergeCell ref="B19:C19"/>
    <mergeCell ref="B20:C20"/>
    <mergeCell ref="B9:C9"/>
    <mergeCell ref="B17:C17"/>
    <mergeCell ref="B2:C2"/>
    <mergeCell ref="B18:C18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2761"/>
  </sheetPr>
  <dimension ref="B2:J13"/>
  <sheetViews>
    <sheetView showGridLines="0" topLeftCell="A7" zoomScaleNormal="100" workbookViewId="0">
      <selection activeCell="D17" sqref="D17"/>
    </sheetView>
  </sheetViews>
  <sheetFormatPr defaultColWidth="8.7109375" defaultRowHeight="15"/>
  <cols>
    <col min="1" max="1" width="4" customWidth="1"/>
    <col min="2" max="2" width="19" customWidth="1"/>
    <col min="3" max="3" width="24.7109375" customWidth="1"/>
    <col min="4" max="4" width="74.42578125" customWidth="1"/>
    <col min="5" max="6" width="30" customWidth="1"/>
  </cols>
  <sheetData>
    <row r="2" spans="2:10" ht="30" customHeight="1">
      <c r="B2" s="55" t="s">
        <v>9</v>
      </c>
      <c r="C2" s="56"/>
      <c r="D2" s="56"/>
      <c r="E2" s="56"/>
      <c r="F2" s="56"/>
    </row>
    <row r="4" spans="2:10" ht="19.5" customHeight="1">
      <c r="B4" s="6" t="s">
        <v>10</v>
      </c>
      <c r="C4" s="6" t="s">
        <v>11</v>
      </c>
      <c r="D4" s="6" t="s">
        <v>12</v>
      </c>
      <c r="E4" s="6" t="s">
        <v>13</v>
      </c>
      <c r="F4" s="7" t="s">
        <v>14</v>
      </c>
    </row>
    <row r="5" spans="2:10" ht="129.75" customHeight="1">
      <c r="B5" s="22" t="s">
        <v>144</v>
      </c>
      <c r="C5" s="23" t="s">
        <v>15</v>
      </c>
      <c r="D5" s="15" t="s">
        <v>141</v>
      </c>
      <c r="E5" s="24" t="s">
        <v>142</v>
      </c>
      <c r="F5" s="23" t="s">
        <v>16</v>
      </c>
    </row>
    <row r="6" spans="2:10" ht="129.75" customHeight="1">
      <c r="B6" s="22" t="s">
        <v>145</v>
      </c>
      <c r="C6" s="23" t="s">
        <v>17</v>
      </c>
      <c r="D6" s="15" t="s">
        <v>149</v>
      </c>
      <c r="E6" s="23" t="s">
        <v>18</v>
      </c>
      <c r="F6" s="23" t="s">
        <v>19</v>
      </c>
    </row>
    <row r="7" spans="2:10" ht="129.75" customHeight="1">
      <c r="B7" s="22" t="s">
        <v>20</v>
      </c>
      <c r="C7" s="5" t="s">
        <v>21</v>
      </c>
      <c r="D7" s="21" t="s">
        <v>147</v>
      </c>
      <c r="E7" s="5" t="s">
        <v>22</v>
      </c>
      <c r="F7" s="5" t="s">
        <v>23</v>
      </c>
      <c r="J7" s="26" t="s">
        <v>148</v>
      </c>
    </row>
    <row r="8" spans="2:10" ht="129.75" customHeight="1">
      <c r="B8" s="25" t="s">
        <v>146</v>
      </c>
      <c r="C8" s="5" t="s">
        <v>24</v>
      </c>
      <c r="D8" s="15" t="s">
        <v>143</v>
      </c>
      <c r="E8" s="23" t="s">
        <v>25</v>
      </c>
      <c r="F8" s="5" t="s">
        <v>26</v>
      </c>
    </row>
    <row r="9" spans="2:10" ht="14.1" customHeight="1"/>
    <row r="10" spans="2:10" ht="15" customHeight="1">
      <c r="B10" s="57" t="s">
        <v>128</v>
      </c>
      <c r="C10" s="54"/>
      <c r="D10" s="54"/>
      <c r="E10" s="54"/>
      <c r="F10" s="47"/>
    </row>
    <row r="11" spans="2:10" ht="24" customHeight="1">
      <c r="B11" s="5" t="s">
        <v>6</v>
      </c>
      <c r="C11" s="53" t="s">
        <v>129</v>
      </c>
      <c r="D11" s="54"/>
      <c r="E11" s="54"/>
      <c r="F11" s="54"/>
    </row>
    <row r="12" spans="2:10" ht="24" customHeight="1">
      <c r="B12" s="5" t="s">
        <v>6</v>
      </c>
      <c r="C12" s="53" t="s">
        <v>130</v>
      </c>
      <c r="D12" s="54"/>
      <c r="E12" s="54"/>
      <c r="F12" s="54"/>
    </row>
    <row r="13" spans="2:10" ht="24" customHeight="1">
      <c r="B13" s="5" t="s">
        <v>6</v>
      </c>
      <c r="C13" s="53" t="s">
        <v>131</v>
      </c>
      <c r="D13" s="54"/>
      <c r="E13" s="54"/>
      <c r="F13" s="54"/>
    </row>
  </sheetData>
  <mergeCells count="5">
    <mergeCell ref="C13:F13"/>
    <mergeCell ref="B2:F2"/>
    <mergeCell ref="B10:F10"/>
    <mergeCell ref="C11:F11"/>
    <mergeCell ref="C12:F12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B2:F49"/>
  <sheetViews>
    <sheetView showGridLines="0" zoomScaleNormal="100" workbookViewId="0">
      <selection activeCell="B25" sqref="B25:F25"/>
    </sheetView>
  </sheetViews>
  <sheetFormatPr defaultColWidth="8.7109375" defaultRowHeight="15"/>
  <cols>
    <col min="1" max="1" width="4" customWidth="1"/>
    <col min="2" max="2" width="10" customWidth="1"/>
    <col min="3" max="3" width="30" customWidth="1"/>
    <col min="4" max="4" width="46" customWidth="1"/>
    <col min="5" max="5" width="29.42578125" bestFit="1" customWidth="1"/>
    <col min="6" max="6" width="35.42578125" customWidth="1"/>
  </cols>
  <sheetData>
    <row r="2" spans="2:6" ht="30" customHeight="1">
      <c r="B2" s="58" t="s">
        <v>27</v>
      </c>
      <c r="C2" s="56"/>
      <c r="D2" s="56"/>
      <c r="E2" s="56"/>
      <c r="F2" s="56"/>
    </row>
    <row r="3" spans="2:6" ht="28.35" customHeight="1">
      <c r="B3" s="59" t="s">
        <v>140</v>
      </c>
      <c r="C3" s="54"/>
      <c r="D3" s="54"/>
      <c r="E3" s="54"/>
      <c r="F3" s="47"/>
    </row>
    <row r="4" spans="2:6" ht="35.65" customHeight="1">
      <c r="B4" s="8" t="s">
        <v>28</v>
      </c>
      <c r="C4" s="8" t="s">
        <v>29</v>
      </c>
      <c r="D4" s="8" t="s">
        <v>30</v>
      </c>
      <c r="E4" s="16" t="s">
        <v>132</v>
      </c>
      <c r="F4" s="8" t="s">
        <v>31</v>
      </c>
    </row>
    <row r="5" spans="2:6" ht="15" customHeight="1">
      <c r="B5" s="9" t="s">
        <v>32</v>
      </c>
      <c r="C5" s="9"/>
      <c r="D5" s="9"/>
      <c r="E5" s="9"/>
      <c r="F5" s="9"/>
    </row>
    <row r="6" spans="2:6" ht="30" customHeight="1">
      <c r="B6" s="3" t="s">
        <v>28</v>
      </c>
      <c r="C6" s="2" t="s">
        <v>29</v>
      </c>
      <c r="D6" s="2" t="s">
        <v>30</v>
      </c>
      <c r="E6" s="2" t="s">
        <v>150</v>
      </c>
      <c r="F6" s="2" t="s">
        <v>151</v>
      </c>
    </row>
    <row r="7" spans="2:6" ht="30" customHeight="1">
      <c r="B7" s="3" t="s">
        <v>152</v>
      </c>
      <c r="C7" s="39" t="s">
        <v>177</v>
      </c>
      <c r="D7" s="39" t="s">
        <v>178</v>
      </c>
      <c r="E7" s="39" t="s">
        <v>179</v>
      </c>
      <c r="F7" s="39" t="s">
        <v>180</v>
      </c>
    </row>
    <row r="8" spans="2:6" ht="30" customHeight="1">
      <c r="B8" s="3" t="s">
        <v>152</v>
      </c>
      <c r="C8" s="39" t="s">
        <v>181</v>
      </c>
      <c r="D8" s="39" t="s">
        <v>182</v>
      </c>
      <c r="E8" s="39" t="s">
        <v>183</v>
      </c>
      <c r="F8" s="39" t="s">
        <v>184</v>
      </c>
    </row>
    <row r="9" spans="2:6" ht="30" customHeight="1">
      <c r="B9" s="3" t="s">
        <v>152</v>
      </c>
      <c r="C9" s="39" t="s">
        <v>172</v>
      </c>
      <c r="D9" s="39" t="s">
        <v>185</v>
      </c>
      <c r="E9" s="39" t="s">
        <v>186</v>
      </c>
      <c r="F9" s="39" t="s">
        <v>187</v>
      </c>
    </row>
    <row r="10" spans="2:6" ht="30" customHeight="1">
      <c r="B10" s="3" t="s">
        <v>152</v>
      </c>
      <c r="C10" s="39" t="s">
        <v>188</v>
      </c>
      <c r="D10" s="39" t="s">
        <v>189</v>
      </c>
      <c r="E10" s="39" t="s">
        <v>186</v>
      </c>
      <c r="F10" s="39" t="s">
        <v>190</v>
      </c>
    </row>
    <row r="11" spans="2:6" ht="30" customHeight="1">
      <c r="B11" s="3" t="s">
        <v>152</v>
      </c>
      <c r="C11" s="39" t="s">
        <v>191</v>
      </c>
      <c r="D11" s="39" t="s">
        <v>192</v>
      </c>
      <c r="E11" s="39" t="s">
        <v>193</v>
      </c>
      <c r="F11" s="39" t="s">
        <v>194</v>
      </c>
    </row>
    <row r="12" spans="2:6" ht="30" customHeight="1">
      <c r="B12" s="3" t="s">
        <v>152</v>
      </c>
      <c r="C12" s="39" t="s">
        <v>154</v>
      </c>
      <c r="D12" s="39" t="s">
        <v>195</v>
      </c>
      <c r="E12" s="39" t="s">
        <v>196</v>
      </c>
      <c r="F12" s="39" t="s">
        <v>187</v>
      </c>
    </row>
    <row r="13" spans="2:6" ht="30" customHeight="1">
      <c r="B13" s="3" t="s">
        <v>152</v>
      </c>
      <c r="C13" s="39" t="s">
        <v>155</v>
      </c>
      <c r="D13" s="39" t="s">
        <v>197</v>
      </c>
      <c r="E13" s="39" t="s">
        <v>198</v>
      </c>
      <c r="F13" s="39" t="s">
        <v>199</v>
      </c>
    </row>
    <row r="14" spans="2:6" ht="30" customHeight="1">
      <c r="B14" s="3" t="s">
        <v>152</v>
      </c>
      <c r="C14" s="39" t="s">
        <v>200</v>
      </c>
      <c r="D14" s="39" t="s">
        <v>201</v>
      </c>
      <c r="E14" s="39" t="s">
        <v>202</v>
      </c>
      <c r="F14" s="39" t="s">
        <v>203</v>
      </c>
    </row>
    <row r="15" spans="2:6" ht="30" customHeight="1">
      <c r="B15" s="3" t="s">
        <v>204</v>
      </c>
      <c r="C15" s="39" t="s">
        <v>205</v>
      </c>
      <c r="D15" s="39" t="s">
        <v>206</v>
      </c>
      <c r="E15" s="39" t="s">
        <v>207</v>
      </c>
      <c r="F15" s="39" t="s">
        <v>208</v>
      </c>
    </row>
    <row r="16" spans="2:6" ht="30" customHeight="1">
      <c r="B16" s="3" t="s">
        <v>156</v>
      </c>
      <c r="C16" s="39" t="s">
        <v>209</v>
      </c>
      <c r="D16" s="39" t="s">
        <v>210</v>
      </c>
      <c r="E16" s="39" t="s">
        <v>157</v>
      </c>
      <c r="F16" s="39" t="s">
        <v>187</v>
      </c>
    </row>
    <row r="17" spans="2:6" ht="30" customHeight="1">
      <c r="B17" s="3" t="s">
        <v>156</v>
      </c>
      <c r="C17" s="39" t="s">
        <v>153</v>
      </c>
      <c r="D17" s="39" t="s">
        <v>211</v>
      </c>
      <c r="E17" s="39" t="s">
        <v>212</v>
      </c>
      <c r="F17" s="39" t="s">
        <v>187</v>
      </c>
    </row>
    <row r="18" spans="2:6" ht="30" customHeight="1">
      <c r="B18" s="3" t="s">
        <v>156</v>
      </c>
      <c r="C18" s="39" t="s">
        <v>213</v>
      </c>
      <c r="D18" s="39" t="s">
        <v>214</v>
      </c>
      <c r="E18" s="39" t="s">
        <v>215</v>
      </c>
      <c r="F18" s="39" t="s">
        <v>187</v>
      </c>
    </row>
    <row r="19" spans="2:6" ht="30" customHeight="1">
      <c r="B19" s="3" t="s">
        <v>156</v>
      </c>
      <c r="C19" s="39" t="s">
        <v>216</v>
      </c>
      <c r="D19" s="39" t="s">
        <v>217</v>
      </c>
      <c r="E19" s="39" t="s">
        <v>218</v>
      </c>
      <c r="F19" s="39" t="s">
        <v>219</v>
      </c>
    </row>
    <row r="20" spans="2:6" ht="30" customHeight="1">
      <c r="B20" s="3" t="s">
        <v>156</v>
      </c>
      <c r="C20" s="39" t="s">
        <v>171</v>
      </c>
      <c r="D20" s="39" t="s">
        <v>220</v>
      </c>
      <c r="E20" s="39" t="s">
        <v>215</v>
      </c>
      <c r="F20" s="39" t="s">
        <v>187</v>
      </c>
    </row>
    <row r="21" spans="2:6" ht="30" customHeight="1">
      <c r="B21" s="3" t="s">
        <v>159</v>
      </c>
      <c r="C21" s="39" t="s">
        <v>221</v>
      </c>
      <c r="D21" s="39" t="s">
        <v>222</v>
      </c>
      <c r="E21" s="39" t="s">
        <v>223</v>
      </c>
      <c r="F21" s="39" t="s">
        <v>187</v>
      </c>
    </row>
    <row r="22" spans="2:6" ht="30" customHeight="1">
      <c r="B22" s="3" t="s">
        <v>159</v>
      </c>
      <c r="C22" s="39" t="s">
        <v>224</v>
      </c>
      <c r="D22" s="39" t="s">
        <v>225</v>
      </c>
      <c r="E22" s="39" t="s">
        <v>226</v>
      </c>
      <c r="F22" s="39" t="s">
        <v>227</v>
      </c>
    </row>
    <row r="23" spans="2:6" ht="33" customHeight="1">
      <c r="B23" s="3" t="s">
        <v>161</v>
      </c>
      <c r="C23" s="39" t="s">
        <v>228</v>
      </c>
      <c r="D23" s="39" t="s">
        <v>229</v>
      </c>
      <c r="E23" s="39" t="s">
        <v>230</v>
      </c>
      <c r="F23" s="39" t="s">
        <v>231</v>
      </c>
    </row>
    <row r="24" spans="2:6" ht="25.5">
      <c r="B24" s="3" t="s">
        <v>161</v>
      </c>
      <c r="C24" s="39" t="s">
        <v>232</v>
      </c>
      <c r="D24" s="39" t="s">
        <v>233</v>
      </c>
      <c r="E24" s="39" t="s">
        <v>234</v>
      </c>
      <c r="F24" s="39" t="s">
        <v>235</v>
      </c>
    </row>
    <row r="25" spans="2:6" ht="27.75" customHeight="1"/>
    <row r="26" spans="2:6">
      <c r="B26" s="27"/>
      <c r="C26" s="27"/>
      <c r="D26" s="27"/>
    </row>
    <row r="30" spans="2:6">
      <c r="B30" s="27"/>
      <c r="C30" s="27"/>
      <c r="D30" s="27"/>
      <c r="E30" s="27"/>
      <c r="F30" s="27"/>
    </row>
    <row r="31" spans="2:6">
      <c r="B31" s="27"/>
      <c r="C31" s="27"/>
      <c r="D31" s="27"/>
      <c r="E31" s="27"/>
      <c r="F31" s="27"/>
    </row>
    <row r="32" spans="2:6">
      <c r="B32" s="27"/>
      <c r="C32" s="27"/>
      <c r="D32" s="27"/>
      <c r="E32" s="27"/>
      <c r="F32" s="27"/>
    </row>
    <row r="33" spans="2:6">
      <c r="B33" s="27"/>
      <c r="C33" s="27"/>
      <c r="D33" s="27"/>
      <c r="E33" s="27"/>
      <c r="F33" s="27"/>
    </row>
    <row r="34" spans="2:6">
      <c r="B34" s="27"/>
      <c r="C34" s="27"/>
      <c r="D34" s="27"/>
      <c r="E34" s="27"/>
      <c r="F34" s="27"/>
    </row>
    <row r="35" spans="2:6">
      <c r="B35" s="27"/>
      <c r="C35" s="27"/>
      <c r="D35" s="27"/>
      <c r="E35" s="27"/>
      <c r="F35" s="27"/>
    </row>
    <row r="36" spans="2:6">
      <c r="B36" s="27"/>
      <c r="C36" s="27"/>
      <c r="D36" s="27"/>
      <c r="E36" s="27"/>
      <c r="F36" s="27"/>
    </row>
    <row r="37" spans="2:6">
      <c r="B37" s="27"/>
      <c r="C37" s="27"/>
      <c r="D37" s="27"/>
      <c r="E37" s="27"/>
      <c r="F37" s="27"/>
    </row>
    <row r="38" spans="2:6">
      <c r="B38" s="27"/>
      <c r="C38" s="27"/>
      <c r="D38" s="27"/>
      <c r="E38" s="27"/>
      <c r="F38" s="27"/>
    </row>
    <row r="39" spans="2:6">
      <c r="B39" s="27"/>
      <c r="C39" s="27"/>
      <c r="D39" s="27"/>
      <c r="E39" s="27"/>
      <c r="F39" s="27"/>
    </row>
    <row r="40" spans="2:6">
      <c r="B40" s="27"/>
      <c r="C40" s="27"/>
      <c r="D40" s="27"/>
      <c r="E40" s="27"/>
      <c r="F40" s="27"/>
    </row>
    <row r="41" spans="2:6">
      <c r="B41" s="27"/>
      <c r="C41" s="27"/>
      <c r="D41" s="27"/>
      <c r="E41" s="27"/>
      <c r="F41" s="27"/>
    </row>
    <row r="42" spans="2:6">
      <c r="B42" s="27"/>
      <c r="C42" s="27"/>
      <c r="D42" s="27"/>
      <c r="E42" s="27"/>
      <c r="F42" s="27"/>
    </row>
    <row r="43" spans="2:6">
      <c r="B43" s="27"/>
      <c r="C43" s="27"/>
      <c r="D43" s="27"/>
      <c r="E43" s="27"/>
      <c r="F43" s="27"/>
    </row>
    <row r="44" spans="2:6">
      <c r="B44" s="27"/>
      <c r="C44" s="27"/>
      <c r="D44" s="27"/>
      <c r="E44" s="27"/>
      <c r="F44" s="27"/>
    </row>
    <row r="45" spans="2:6">
      <c r="B45" s="27"/>
      <c r="C45" s="27"/>
      <c r="D45" s="27"/>
      <c r="E45" s="27"/>
      <c r="F45" s="27"/>
    </row>
    <row r="46" spans="2:6">
      <c r="B46" s="27"/>
      <c r="C46" s="27"/>
      <c r="D46" s="27"/>
      <c r="E46" s="27"/>
      <c r="F46" s="27"/>
    </row>
    <row r="47" spans="2:6">
      <c r="B47" s="27"/>
      <c r="C47" s="27"/>
      <c r="D47" s="27"/>
      <c r="E47" s="27"/>
      <c r="F47" s="27"/>
    </row>
    <row r="48" spans="2:6">
      <c r="B48" s="27"/>
      <c r="C48" s="27"/>
      <c r="D48" s="27"/>
      <c r="E48" s="27"/>
      <c r="F48" s="27"/>
    </row>
    <row r="49" spans="2:6">
      <c r="B49" s="27"/>
      <c r="C49" s="27"/>
      <c r="D49" s="27"/>
      <c r="E49" s="27"/>
      <c r="F49" s="27"/>
    </row>
  </sheetData>
  <mergeCells count="2">
    <mergeCell ref="B2:F2"/>
    <mergeCell ref="B3:F3"/>
  </mergeCells>
  <phoneticPr fontId="17" type="noConversion"/>
  <dataValidations count="2">
    <dataValidation type="list" allowBlank="1" sqref="B6" xr:uid="{00000000-0002-0000-0200-000000000000}">
      <formula1>"Must,Should,Could,Won't,제약"</formula1>
      <formula2>0</formula2>
    </dataValidation>
    <dataValidation type="list" allowBlank="1" sqref="B7:B24" xr:uid="{2F098BA5-E68A-4D84-8D1D-3A3DE33FE2D2}">
      <formula1>"Must,Should,Could,Won't,Constraint"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B2:H21"/>
  <sheetViews>
    <sheetView showGridLines="0" zoomScaleNormal="100" workbookViewId="0">
      <selection activeCell="J13" sqref="J13"/>
    </sheetView>
  </sheetViews>
  <sheetFormatPr defaultColWidth="8.7109375" defaultRowHeight="15"/>
  <cols>
    <col min="1" max="1" width="4" customWidth="1"/>
    <col min="2" max="2" width="20" customWidth="1"/>
    <col min="3" max="3" width="34" customWidth="1"/>
    <col min="4" max="6" width="12" customWidth="1"/>
    <col min="7" max="7" width="14" customWidth="1"/>
    <col min="8" max="8" width="12" customWidth="1"/>
  </cols>
  <sheetData>
    <row r="2" spans="2:8" ht="30" customHeight="1">
      <c r="B2" s="55" t="s">
        <v>33</v>
      </c>
      <c r="C2" s="56"/>
      <c r="D2" s="56"/>
      <c r="E2" s="56"/>
      <c r="F2" s="56"/>
      <c r="G2" s="56"/>
      <c r="H2" s="56"/>
    </row>
    <row r="3" spans="2:8" ht="72.400000000000006" customHeight="1">
      <c r="B3" s="60" t="s">
        <v>134</v>
      </c>
      <c r="C3" s="54"/>
      <c r="D3" s="54"/>
      <c r="E3" s="54"/>
      <c r="F3" s="54"/>
      <c r="G3" s="54"/>
      <c r="H3" s="47"/>
    </row>
    <row r="4" spans="2:8" ht="18" customHeight="1">
      <c r="B4" s="61" t="s">
        <v>34</v>
      </c>
      <c r="C4" s="54"/>
      <c r="D4" s="54"/>
      <c r="E4" s="54"/>
      <c r="F4" s="54"/>
      <c r="G4" s="54"/>
      <c r="H4" s="47"/>
    </row>
    <row r="5" spans="2:8" ht="31.5" customHeight="1">
      <c r="B5" s="10" t="s">
        <v>35</v>
      </c>
      <c r="C5" s="10" t="s">
        <v>36</v>
      </c>
      <c r="D5" s="18" t="s">
        <v>37</v>
      </c>
      <c r="E5" s="11" t="s">
        <v>38</v>
      </c>
      <c r="F5" s="11" t="s">
        <v>39</v>
      </c>
      <c r="G5" s="10" t="s">
        <v>40</v>
      </c>
      <c r="H5" s="11" t="s">
        <v>41</v>
      </c>
    </row>
    <row r="6" spans="2:8" ht="33.75" customHeight="1">
      <c r="B6" s="40" t="s">
        <v>236</v>
      </c>
      <c r="C6" s="3" t="s">
        <v>237</v>
      </c>
      <c r="D6" s="5">
        <v>2</v>
      </c>
      <c r="E6" s="5">
        <v>5</v>
      </c>
      <c r="F6" s="5">
        <v>5</v>
      </c>
      <c r="G6" s="5">
        <f t="shared" ref="G6:G19" si="0">IF(OR(E6="",F6=""),"",E6*F6*2)</f>
        <v>50</v>
      </c>
      <c r="H6" s="5" t="s">
        <v>166</v>
      </c>
    </row>
    <row r="7" spans="2:8" s="27" customFormat="1" ht="25.5">
      <c r="B7" s="40" t="s">
        <v>238</v>
      </c>
      <c r="C7" s="3" t="s">
        <v>239</v>
      </c>
      <c r="D7" s="5">
        <v>4</v>
      </c>
      <c r="E7" s="5">
        <v>4</v>
      </c>
      <c r="F7" s="5">
        <v>5</v>
      </c>
      <c r="G7" s="5">
        <f t="shared" si="0"/>
        <v>40</v>
      </c>
      <c r="H7" s="37" t="s">
        <v>169</v>
      </c>
    </row>
    <row r="8" spans="2:8" s="27" customFormat="1" ht="33.75" customHeight="1">
      <c r="B8" s="40" t="s">
        <v>240</v>
      </c>
      <c r="C8" s="3" t="s">
        <v>241</v>
      </c>
      <c r="D8" s="5">
        <v>3</v>
      </c>
      <c r="E8" s="5">
        <v>4</v>
      </c>
      <c r="F8" s="5">
        <v>5</v>
      </c>
      <c r="G8" s="5">
        <f t="shared" si="0"/>
        <v>40</v>
      </c>
      <c r="H8" s="5" t="s">
        <v>167</v>
      </c>
    </row>
    <row r="9" spans="2:8" s="27" customFormat="1" ht="33.75" customHeight="1">
      <c r="B9" s="40" t="s">
        <v>242</v>
      </c>
      <c r="C9" s="39" t="s">
        <v>243</v>
      </c>
      <c r="D9" s="5">
        <v>3</v>
      </c>
      <c r="E9" s="5">
        <v>4</v>
      </c>
      <c r="F9" s="5">
        <v>4</v>
      </c>
      <c r="G9" s="5">
        <f t="shared" si="0"/>
        <v>32</v>
      </c>
      <c r="H9" s="37" t="s">
        <v>168</v>
      </c>
    </row>
    <row r="10" spans="2:8" s="27" customFormat="1" ht="33.75" customHeight="1">
      <c r="B10" s="40" t="s">
        <v>171</v>
      </c>
      <c r="C10" s="39" t="s">
        <v>220</v>
      </c>
      <c r="D10" s="5">
        <v>3</v>
      </c>
      <c r="E10" s="5">
        <v>4</v>
      </c>
      <c r="F10" s="5">
        <v>5</v>
      </c>
      <c r="G10" s="5">
        <f t="shared" si="0"/>
        <v>40</v>
      </c>
      <c r="H10" s="37" t="s">
        <v>168</v>
      </c>
    </row>
    <row r="11" spans="2:8" s="27" customFormat="1" ht="33.75" customHeight="1">
      <c r="B11" s="40" t="s">
        <v>244</v>
      </c>
      <c r="C11" s="3" t="s">
        <v>245</v>
      </c>
      <c r="D11" s="5">
        <v>1</v>
      </c>
      <c r="E11" s="5">
        <v>5</v>
      </c>
      <c r="F11" s="5">
        <v>3</v>
      </c>
      <c r="G11" s="5">
        <f t="shared" si="0"/>
        <v>30</v>
      </c>
      <c r="H11" s="37" t="s">
        <v>169</v>
      </c>
    </row>
    <row r="12" spans="2:8" s="27" customFormat="1" ht="33.75" customHeight="1">
      <c r="B12" s="40" t="s">
        <v>158</v>
      </c>
      <c r="C12" s="3" t="s">
        <v>246</v>
      </c>
      <c r="D12" s="5">
        <v>2</v>
      </c>
      <c r="E12" s="5">
        <v>4</v>
      </c>
      <c r="F12" s="5">
        <v>4</v>
      </c>
      <c r="G12" s="5">
        <f t="shared" si="0"/>
        <v>32</v>
      </c>
      <c r="H12" s="37" t="s">
        <v>170</v>
      </c>
    </row>
    <row r="13" spans="2:8" ht="33.75" customHeight="1">
      <c r="B13" s="40" t="s">
        <v>160</v>
      </c>
      <c r="C13" s="39" t="s">
        <v>247</v>
      </c>
      <c r="D13" s="5">
        <v>1</v>
      </c>
      <c r="E13" s="5">
        <v>5</v>
      </c>
      <c r="F13" s="5">
        <v>3</v>
      </c>
      <c r="G13" s="5">
        <f t="shared" si="0"/>
        <v>30</v>
      </c>
      <c r="H13" s="37" t="s">
        <v>170</v>
      </c>
    </row>
    <row r="14" spans="2:8" ht="33.75" customHeight="1">
      <c r="B14" s="12"/>
      <c r="C14" s="12"/>
      <c r="D14" s="5"/>
      <c r="E14" s="5"/>
      <c r="F14" s="5"/>
      <c r="G14" s="5"/>
      <c r="H14" s="37"/>
    </row>
    <row r="15" spans="2:8" ht="33.75" customHeight="1">
      <c r="B15" s="12"/>
      <c r="C15" s="12"/>
      <c r="D15" s="5"/>
      <c r="E15" s="5"/>
      <c r="F15" s="5"/>
      <c r="G15" s="5"/>
      <c r="H15" s="37"/>
    </row>
    <row r="16" spans="2:8" ht="33.75" customHeight="1">
      <c r="B16" s="12"/>
      <c r="C16" s="2"/>
      <c r="D16" s="5"/>
      <c r="E16" s="5"/>
      <c r="F16" s="5"/>
      <c r="G16" s="5" t="str">
        <f t="shared" si="0"/>
        <v/>
      </c>
      <c r="H16" s="5"/>
    </row>
    <row r="17" spans="2:8" ht="33.75" customHeight="1">
      <c r="B17" s="12"/>
      <c r="C17" s="3"/>
      <c r="D17" s="5"/>
      <c r="E17" s="5"/>
      <c r="F17" s="5"/>
      <c r="G17" s="5" t="str">
        <f t="shared" si="0"/>
        <v/>
      </c>
      <c r="H17" s="5"/>
    </row>
    <row r="18" spans="2:8" ht="33.75" customHeight="1">
      <c r="B18" s="12"/>
      <c r="C18" s="3"/>
      <c r="D18" s="5"/>
      <c r="E18" s="5"/>
      <c r="F18" s="5"/>
      <c r="G18" s="5" t="str">
        <f t="shared" si="0"/>
        <v/>
      </c>
      <c r="H18" s="5"/>
    </row>
    <row r="19" spans="2:8" ht="33.75" customHeight="1">
      <c r="B19" s="12"/>
      <c r="C19" s="2"/>
      <c r="D19" s="5"/>
      <c r="E19" s="5"/>
      <c r="F19" s="5"/>
      <c r="G19" s="5" t="str">
        <f t="shared" si="0"/>
        <v/>
      </c>
      <c r="H19" s="5"/>
    </row>
    <row r="21" spans="2:8" ht="118.7" customHeight="1">
      <c r="B21" s="17" t="s">
        <v>133</v>
      </c>
      <c r="C21" s="62" t="s">
        <v>173</v>
      </c>
      <c r="D21" s="63"/>
      <c r="E21" s="63"/>
      <c r="F21" s="63"/>
      <c r="G21" s="63"/>
      <c r="H21" s="49"/>
    </row>
  </sheetData>
  <mergeCells count="4">
    <mergeCell ref="B3:H3"/>
    <mergeCell ref="B2:H2"/>
    <mergeCell ref="B4:H4"/>
    <mergeCell ref="C21:H21"/>
  </mergeCells>
  <phoneticPr fontId="17" type="noConversion"/>
  <conditionalFormatting sqref="G6:G19">
    <cfRule type="expression" dxfId="1" priority="2">
      <formula>AND(G6&lt;&gt;"",G6&gt;=32)</formula>
    </cfRule>
  </conditionalFormatting>
  <dataValidations count="3">
    <dataValidation type="list" allowBlank="1" sqref="E14:F19" xr:uid="{00000000-0002-0000-0300-000000000000}">
      <formula1>"1,2,3,4,5"</formula1>
      <formula2>0</formula2>
    </dataValidation>
    <dataValidation type="list" allowBlank="1" sqref="H6:H19" xr:uid="{00000000-0002-0000-0300-000001000000}">
      <formula1>"선정,보류,제외"</formula1>
      <formula2>0</formula2>
    </dataValidation>
    <dataValidation type="whole" allowBlank="1" sqref="E6:F13" xr:uid="{BFF67CDA-BE47-40A1-A25A-5893067BBA56}">
      <formula1>1</formula1>
      <formula2>5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2:C35"/>
  <sheetViews>
    <sheetView showGridLines="0" topLeftCell="A10" zoomScaleNormal="100" workbookViewId="0">
      <selection activeCell="B32" sqref="B32:C35"/>
    </sheetView>
  </sheetViews>
  <sheetFormatPr defaultColWidth="8.7109375" defaultRowHeight="15"/>
  <cols>
    <col min="1" max="1" width="4" customWidth="1"/>
    <col min="2" max="2" width="16" customWidth="1"/>
    <col min="3" max="3" width="88.5703125" customWidth="1"/>
    <col min="4" max="4" width="4" customWidth="1"/>
  </cols>
  <sheetData>
    <row r="2" spans="2:3" ht="30" customHeight="1">
      <c r="B2" s="58" t="s">
        <v>42</v>
      </c>
      <c r="C2" s="56"/>
    </row>
    <row r="3" spans="2:3" ht="18" customHeight="1">
      <c r="B3" s="66" t="s">
        <v>43</v>
      </c>
      <c r="C3" s="47"/>
    </row>
    <row r="4" spans="2:3" ht="30" customHeight="1">
      <c r="B4" s="1" t="s">
        <v>44</v>
      </c>
      <c r="C4" s="35" t="s">
        <v>162</v>
      </c>
    </row>
    <row r="5" spans="2:3" ht="30" customHeight="1">
      <c r="B5" s="1" t="s">
        <v>45</v>
      </c>
      <c r="C5" s="15" t="s">
        <v>163</v>
      </c>
    </row>
    <row r="6" spans="2:3" ht="51">
      <c r="B6" s="1" t="s">
        <v>46</v>
      </c>
      <c r="C6" s="15" t="s">
        <v>164</v>
      </c>
    </row>
    <row r="7" spans="2:3" ht="63.75">
      <c r="B7" s="1" t="s">
        <v>47</v>
      </c>
      <c r="C7" s="15" t="s">
        <v>165</v>
      </c>
    </row>
    <row r="9" spans="2:3" ht="15" customHeight="1">
      <c r="B9" s="64" t="s">
        <v>48</v>
      </c>
      <c r="C9" s="65"/>
    </row>
    <row r="10" spans="2:3" ht="25.5" customHeight="1">
      <c r="B10" s="51" t="s">
        <v>248</v>
      </c>
      <c r="C10" s="52"/>
    </row>
    <row r="11" spans="2:3" ht="25.5" customHeight="1">
      <c r="B11" s="51" t="s">
        <v>249</v>
      </c>
      <c r="C11" s="52"/>
    </row>
    <row r="12" spans="2:3" ht="25.5" customHeight="1">
      <c r="B12" s="51" t="s">
        <v>250</v>
      </c>
      <c r="C12" s="52"/>
    </row>
    <row r="13" spans="2:3" ht="25.5" customHeight="1">
      <c r="B13" s="51" t="s">
        <v>251</v>
      </c>
      <c r="C13" s="52"/>
    </row>
    <row r="14" spans="2:3" s="27" customFormat="1" ht="25.5" customHeight="1">
      <c r="B14" s="51" t="s">
        <v>252</v>
      </c>
      <c r="C14" s="52"/>
    </row>
    <row r="15" spans="2:3" s="27" customFormat="1" ht="25.5" customHeight="1">
      <c r="B15" s="67"/>
      <c r="C15" s="52"/>
    </row>
    <row r="16" spans="2:3" s="27" customFormat="1" ht="25.5" customHeight="1">
      <c r="B16" s="51"/>
      <c r="C16" s="52"/>
    </row>
    <row r="17" spans="1:3" s="27" customFormat="1" ht="25.5" customHeight="1">
      <c r="A17" s="36"/>
      <c r="B17" s="51"/>
      <c r="C17" s="52"/>
    </row>
    <row r="18" spans="1:3" s="27" customFormat="1" ht="25.5" customHeight="1">
      <c r="B18" s="67"/>
      <c r="C18" s="52"/>
    </row>
    <row r="20" spans="1:3" ht="15" customHeight="1">
      <c r="B20" s="71" t="s">
        <v>49</v>
      </c>
      <c r="C20" s="72"/>
    </row>
    <row r="21" spans="1:3" ht="25.5" customHeight="1">
      <c r="B21" s="51" t="s">
        <v>253</v>
      </c>
      <c r="C21" s="52"/>
    </row>
    <row r="22" spans="1:3" ht="25.5" customHeight="1">
      <c r="B22" s="51" t="s">
        <v>254</v>
      </c>
      <c r="C22" s="52"/>
    </row>
    <row r="23" spans="1:3" s="27" customFormat="1" ht="25.5" customHeight="1">
      <c r="B23" s="51" t="s">
        <v>255</v>
      </c>
      <c r="C23" s="52"/>
    </row>
    <row r="24" spans="1:3" s="27" customFormat="1" ht="25.5" customHeight="1">
      <c r="B24" s="67"/>
      <c r="C24" s="52"/>
    </row>
    <row r="25" spans="1:3" s="27" customFormat="1" ht="25.5" customHeight="1">
      <c r="B25" s="67"/>
      <c r="C25" s="68"/>
    </row>
    <row r="26" spans="1:3" ht="25.5" customHeight="1">
      <c r="B26" s="67"/>
      <c r="C26" s="52"/>
    </row>
    <row r="28" spans="1:3" ht="15" customHeight="1">
      <c r="B28" s="69" t="s">
        <v>50</v>
      </c>
      <c r="C28" s="70"/>
    </row>
    <row r="29" spans="1:3" ht="25.5" customHeight="1">
      <c r="B29" s="51" t="s">
        <v>256</v>
      </c>
      <c r="C29" s="52"/>
    </row>
    <row r="30" spans="1:3" ht="25.5" customHeight="1">
      <c r="B30" s="51" t="s">
        <v>257</v>
      </c>
      <c r="C30" s="52"/>
    </row>
    <row r="31" spans="1:3" s="27" customFormat="1" ht="25.5" customHeight="1">
      <c r="B31" s="51" t="s">
        <v>258</v>
      </c>
      <c r="C31" s="52"/>
    </row>
    <row r="32" spans="1:3" s="27" customFormat="1" ht="25.5" customHeight="1">
      <c r="B32" s="67"/>
      <c r="C32" s="68"/>
    </row>
    <row r="33" spans="2:3" s="27" customFormat="1" ht="25.5" customHeight="1">
      <c r="B33" s="67"/>
      <c r="C33" s="68"/>
    </row>
    <row r="34" spans="2:3" s="27" customFormat="1" ht="25.5" customHeight="1">
      <c r="B34" s="67"/>
      <c r="C34" s="68"/>
    </row>
    <row r="35" spans="2:3" ht="25.5" customHeight="1">
      <c r="B35" s="67"/>
      <c r="C35" s="52"/>
    </row>
  </sheetData>
  <mergeCells count="27">
    <mergeCell ref="B35:C35"/>
    <mergeCell ref="B24:C24"/>
    <mergeCell ref="B31:C31"/>
    <mergeCell ref="B32:C32"/>
    <mergeCell ref="B33:C33"/>
    <mergeCell ref="B34:C34"/>
    <mergeCell ref="B16:C16"/>
    <mergeCell ref="B17:C17"/>
    <mergeCell ref="B18:C18"/>
    <mergeCell ref="B14:C14"/>
    <mergeCell ref="B23:C23"/>
    <mergeCell ref="B9:C9"/>
    <mergeCell ref="B29:C29"/>
    <mergeCell ref="B30:C30"/>
    <mergeCell ref="B3:C3"/>
    <mergeCell ref="B2:C2"/>
    <mergeCell ref="B10:C10"/>
    <mergeCell ref="B11:C11"/>
    <mergeCell ref="B12:C12"/>
    <mergeCell ref="B25:C25"/>
    <mergeCell ref="B13:C13"/>
    <mergeCell ref="B21:C21"/>
    <mergeCell ref="B22:C22"/>
    <mergeCell ref="B26:C26"/>
    <mergeCell ref="B28:C28"/>
    <mergeCell ref="B20:C20"/>
    <mergeCell ref="B15:C15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B2:Q28"/>
  <sheetViews>
    <sheetView showGridLines="0" tabSelected="1" zoomScaleNormal="100" workbookViewId="0">
      <selection activeCell="Q16" sqref="Q16"/>
    </sheetView>
  </sheetViews>
  <sheetFormatPr defaultColWidth="8.7109375" defaultRowHeight="15"/>
  <cols>
    <col min="1" max="1" width="4" customWidth="1"/>
    <col min="2" max="2" width="4.28515625" customWidth="1"/>
    <col min="3" max="3" width="10.5703125" customWidth="1"/>
    <col min="4" max="4" width="32.28515625" customWidth="1"/>
    <col min="5" max="5" width="10.140625" customWidth="1"/>
    <col min="6" max="6" width="9" customWidth="1"/>
    <col min="7" max="7" width="7" customWidth="1"/>
    <col min="8" max="9" width="8" customWidth="1"/>
    <col min="10" max="10" width="7.42578125" customWidth="1"/>
    <col min="11" max="11" width="7.5703125" customWidth="1"/>
    <col min="12" max="12" width="7.28515625" customWidth="1"/>
  </cols>
  <sheetData>
    <row r="2" spans="2:17" ht="27.75" customHeight="1">
      <c r="B2" s="74" t="s">
        <v>51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</row>
    <row r="3" spans="2:17" ht="79.7" customHeight="1">
      <c r="B3" s="73" t="s">
        <v>135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47"/>
      <c r="Q3" s="43" t="s">
        <v>276</v>
      </c>
    </row>
    <row r="4" spans="2:17" ht="25.5" customHeight="1">
      <c r="B4" s="13" t="s">
        <v>52</v>
      </c>
      <c r="C4" s="11" t="s">
        <v>53</v>
      </c>
      <c r="D4" s="11" t="s">
        <v>54</v>
      </c>
      <c r="E4" s="11" t="s">
        <v>55</v>
      </c>
      <c r="F4" s="20" t="s">
        <v>138</v>
      </c>
      <c r="G4" s="20" t="s">
        <v>139</v>
      </c>
      <c r="H4" s="18" t="s">
        <v>56</v>
      </c>
      <c r="I4" s="19" t="s">
        <v>137</v>
      </c>
      <c r="J4" s="11" t="s">
        <v>57</v>
      </c>
      <c r="K4" s="42">
        <v>46217</v>
      </c>
      <c r="L4" s="42">
        <v>46218</v>
      </c>
      <c r="M4" s="42">
        <v>46219</v>
      </c>
    </row>
    <row r="5" spans="2:17" ht="30" customHeight="1">
      <c r="B5" s="5">
        <v>1</v>
      </c>
      <c r="C5" s="33" t="s">
        <v>58</v>
      </c>
      <c r="D5" s="39" t="s">
        <v>259</v>
      </c>
      <c r="E5" s="5" t="s">
        <v>175</v>
      </c>
      <c r="F5" s="41">
        <v>46217</v>
      </c>
      <c r="G5" s="41">
        <v>46217</v>
      </c>
      <c r="H5" s="5">
        <f t="shared" ref="H5:H18" si="0">IF(OR(F5="",G5=""),"",G5-F5+1)</f>
        <v>1</v>
      </c>
      <c r="I5" s="5">
        <v>100</v>
      </c>
      <c r="J5" s="5" t="s">
        <v>176</v>
      </c>
      <c r="K5" s="3"/>
      <c r="L5" s="3"/>
      <c r="M5" s="3"/>
    </row>
    <row r="6" spans="2:17" ht="30" customHeight="1">
      <c r="B6" s="5">
        <v>2</v>
      </c>
      <c r="C6" s="33" t="s">
        <v>58</v>
      </c>
      <c r="D6" s="39" t="s">
        <v>260</v>
      </c>
      <c r="E6" s="5" t="s">
        <v>261</v>
      </c>
      <c r="F6" s="41">
        <v>46217</v>
      </c>
      <c r="G6" s="41">
        <v>46217</v>
      </c>
      <c r="H6" s="5">
        <f t="shared" si="0"/>
        <v>1</v>
      </c>
      <c r="I6" s="5">
        <v>100</v>
      </c>
      <c r="J6" s="5" t="s">
        <v>176</v>
      </c>
      <c r="K6" s="3"/>
      <c r="L6" s="3"/>
      <c r="M6" s="3"/>
    </row>
    <row r="7" spans="2:17" ht="30" customHeight="1">
      <c r="B7" s="5">
        <v>3</v>
      </c>
      <c r="C7" s="34" t="s">
        <v>59</v>
      </c>
      <c r="D7" s="39" t="s">
        <v>262</v>
      </c>
      <c r="E7" s="5" t="s">
        <v>263</v>
      </c>
      <c r="F7" s="41">
        <v>46217</v>
      </c>
      <c r="G7" s="41">
        <v>46217</v>
      </c>
      <c r="H7" s="5">
        <f t="shared" si="0"/>
        <v>1</v>
      </c>
      <c r="I7" s="5">
        <v>100</v>
      </c>
      <c r="J7" s="5" t="s">
        <v>176</v>
      </c>
      <c r="K7" s="3"/>
      <c r="L7" s="3"/>
      <c r="M7" s="3"/>
    </row>
    <row r="8" spans="2:17" ht="30" customHeight="1">
      <c r="B8" s="5">
        <v>4</v>
      </c>
      <c r="C8" s="34" t="s">
        <v>59</v>
      </c>
      <c r="D8" s="39" t="s">
        <v>264</v>
      </c>
      <c r="E8" s="5" t="s">
        <v>265</v>
      </c>
      <c r="F8" s="41">
        <v>46217</v>
      </c>
      <c r="G8" s="41">
        <v>46219</v>
      </c>
      <c r="H8" s="5">
        <f t="shared" si="0"/>
        <v>3</v>
      </c>
      <c r="I8" s="5">
        <v>100</v>
      </c>
      <c r="J8" s="5" t="s">
        <v>176</v>
      </c>
      <c r="K8" s="3"/>
      <c r="L8" s="3"/>
      <c r="M8" s="3"/>
    </row>
    <row r="9" spans="2:17" ht="30" customHeight="1">
      <c r="B9" s="5">
        <v>5</v>
      </c>
      <c r="C9" s="28" t="s">
        <v>60</v>
      </c>
      <c r="D9" s="39" t="s">
        <v>266</v>
      </c>
      <c r="E9" s="5" t="s">
        <v>175</v>
      </c>
      <c r="F9" s="41">
        <v>46217</v>
      </c>
      <c r="G9" s="41">
        <v>46218</v>
      </c>
      <c r="H9" s="5">
        <f t="shared" si="0"/>
        <v>2</v>
      </c>
      <c r="I9" s="5">
        <v>100</v>
      </c>
      <c r="J9" s="5" t="s">
        <v>176</v>
      </c>
      <c r="K9" s="3"/>
      <c r="L9" s="3"/>
      <c r="M9" s="3"/>
    </row>
    <row r="10" spans="2:17" ht="30" customHeight="1">
      <c r="B10" s="5">
        <v>6</v>
      </c>
      <c r="C10" s="28" t="s">
        <v>60</v>
      </c>
      <c r="D10" s="39" t="s">
        <v>267</v>
      </c>
      <c r="E10" s="5" t="s">
        <v>175</v>
      </c>
      <c r="F10" s="41">
        <v>46218</v>
      </c>
      <c r="G10" s="41">
        <v>46218</v>
      </c>
      <c r="H10" s="5">
        <f t="shared" si="0"/>
        <v>1</v>
      </c>
      <c r="I10" s="5">
        <v>100</v>
      </c>
      <c r="J10" s="5" t="s">
        <v>176</v>
      </c>
      <c r="K10" s="3"/>
      <c r="L10" s="3"/>
      <c r="M10" s="3"/>
    </row>
    <row r="11" spans="2:17" ht="30" customHeight="1">
      <c r="B11" s="5">
        <v>7</v>
      </c>
      <c r="C11" s="28" t="s">
        <v>60</v>
      </c>
      <c r="D11" s="39" t="s">
        <v>268</v>
      </c>
      <c r="E11" s="5" t="s">
        <v>175</v>
      </c>
      <c r="F11" s="41">
        <v>46218</v>
      </c>
      <c r="G11" s="41">
        <v>46218</v>
      </c>
      <c r="H11" s="5">
        <f t="shared" si="0"/>
        <v>1</v>
      </c>
      <c r="I11" s="5">
        <v>100</v>
      </c>
      <c r="J11" s="5" t="s">
        <v>176</v>
      </c>
      <c r="K11" s="3"/>
      <c r="L11" s="3"/>
      <c r="M11" s="3"/>
    </row>
    <row r="12" spans="2:17" ht="30" customHeight="1">
      <c r="B12" s="5">
        <v>8</v>
      </c>
      <c r="C12" s="28" t="s">
        <v>60</v>
      </c>
      <c r="D12" s="39" t="s">
        <v>269</v>
      </c>
      <c r="E12" s="5" t="s">
        <v>175</v>
      </c>
      <c r="F12" s="41">
        <v>46218</v>
      </c>
      <c r="G12" s="41">
        <v>46218</v>
      </c>
      <c r="H12" s="5">
        <f t="shared" si="0"/>
        <v>1</v>
      </c>
      <c r="I12" s="5">
        <v>100</v>
      </c>
      <c r="J12" s="5" t="s">
        <v>176</v>
      </c>
      <c r="K12" s="3"/>
      <c r="L12" s="3"/>
      <c r="M12" s="3"/>
    </row>
    <row r="13" spans="2:17" ht="30" customHeight="1">
      <c r="B13" s="5">
        <v>9</v>
      </c>
      <c r="C13" s="28" t="s">
        <v>60</v>
      </c>
      <c r="D13" s="39" t="s">
        <v>270</v>
      </c>
      <c r="E13" s="5" t="s">
        <v>175</v>
      </c>
      <c r="F13" s="41">
        <v>46218</v>
      </c>
      <c r="G13" s="41">
        <v>46218</v>
      </c>
      <c r="H13" s="5">
        <f t="shared" si="0"/>
        <v>1</v>
      </c>
      <c r="I13" s="5">
        <v>100</v>
      </c>
      <c r="J13" s="5" t="s">
        <v>176</v>
      </c>
      <c r="K13" s="3"/>
      <c r="L13" s="3"/>
      <c r="M13" s="3"/>
    </row>
    <row r="14" spans="2:17" ht="30" customHeight="1">
      <c r="B14" s="5">
        <v>10</v>
      </c>
      <c r="C14" s="38" t="s">
        <v>174</v>
      </c>
      <c r="D14" s="39" t="s">
        <v>271</v>
      </c>
      <c r="E14" s="5" t="s">
        <v>175</v>
      </c>
      <c r="F14" s="41">
        <v>46218</v>
      </c>
      <c r="G14" s="41">
        <v>46219</v>
      </c>
      <c r="H14" s="5">
        <f t="shared" si="0"/>
        <v>2</v>
      </c>
      <c r="I14" s="5">
        <v>100</v>
      </c>
      <c r="J14" s="5" t="s">
        <v>176</v>
      </c>
      <c r="K14" s="3"/>
      <c r="L14" s="3"/>
      <c r="M14" s="3"/>
    </row>
    <row r="15" spans="2:17" ht="30" customHeight="1">
      <c r="B15" s="5">
        <v>11</v>
      </c>
      <c r="C15" s="29" t="s">
        <v>61</v>
      </c>
      <c r="D15" s="39" t="s">
        <v>272</v>
      </c>
      <c r="E15" s="5" t="s">
        <v>175</v>
      </c>
      <c r="F15" s="41">
        <v>46219</v>
      </c>
      <c r="G15" s="41">
        <v>46219</v>
      </c>
      <c r="H15" s="5">
        <f t="shared" si="0"/>
        <v>1</v>
      </c>
      <c r="I15" s="5">
        <v>100</v>
      </c>
      <c r="J15" s="5" t="s">
        <v>176</v>
      </c>
      <c r="K15" s="3"/>
      <c r="L15" s="3"/>
      <c r="M15" s="3"/>
    </row>
    <row r="16" spans="2:17" ht="30" customHeight="1">
      <c r="B16" s="5">
        <v>12</v>
      </c>
      <c r="C16" s="30" t="s">
        <v>62</v>
      </c>
      <c r="D16" s="39" t="s">
        <v>273</v>
      </c>
      <c r="E16" s="5" t="s">
        <v>265</v>
      </c>
      <c r="F16" s="41">
        <v>46219</v>
      </c>
      <c r="G16" s="41">
        <v>46219</v>
      </c>
      <c r="H16" s="5">
        <f t="shared" si="0"/>
        <v>1</v>
      </c>
      <c r="I16" s="5">
        <v>100</v>
      </c>
      <c r="J16" s="5" t="s">
        <v>176</v>
      </c>
      <c r="K16" s="3"/>
      <c r="L16" s="3"/>
      <c r="M16" s="3"/>
    </row>
    <row r="17" spans="2:13" ht="30" customHeight="1">
      <c r="B17" s="5">
        <v>13</v>
      </c>
      <c r="C17" s="31" t="s">
        <v>63</v>
      </c>
      <c r="D17" s="39" t="s">
        <v>274</v>
      </c>
      <c r="E17" s="5" t="s">
        <v>261</v>
      </c>
      <c r="F17" s="41">
        <v>46219</v>
      </c>
      <c r="G17" s="41">
        <v>46219</v>
      </c>
      <c r="H17" s="5">
        <f t="shared" si="0"/>
        <v>1</v>
      </c>
      <c r="I17" s="5">
        <v>100</v>
      </c>
      <c r="J17" s="5" t="s">
        <v>176</v>
      </c>
      <c r="K17" s="3"/>
      <c r="L17" s="3"/>
      <c r="M17" s="3"/>
    </row>
    <row r="18" spans="2:13" ht="30" customHeight="1">
      <c r="B18" s="5">
        <v>14</v>
      </c>
      <c r="C18" s="32" t="s">
        <v>64</v>
      </c>
      <c r="D18" s="39" t="s">
        <v>275</v>
      </c>
      <c r="E18" s="5" t="s">
        <v>175</v>
      </c>
      <c r="F18" s="41">
        <v>46219</v>
      </c>
      <c r="G18" s="41">
        <v>46219</v>
      </c>
      <c r="H18" s="5">
        <f t="shared" si="0"/>
        <v>1</v>
      </c>
      <c r="I18" s="5">
        <v>100</v>
      </c>
      <c r="J18" s="5" t="s">
        <v>176</v>
      </c>
      <c r="K18" s="3"/>
      <c r="L18" s="3"/>
      <c r="M18" s="3"/>
    </row>
    <row r="19" spans="2:13">
      <c r="D19" s="27"/>
    </row>
    <row r="20" spans="2:13" ht="15" customHeight="1">
      <c r="B20" s="75" t="s">
        <v>136</v>
      </c>
      <c r="C20" s="76"/>
    </row>
    <row r="21" spans="2:13" ht="15" customHeight="1">
      <c r="B21" s="77" t="s">
        <v>58</v>
      </c>
      <c r="C21" s="78"/>
    </row>
    <row r="22" spans="2:13" ht="15" customHeight="1">
      <c r="B22" s="79" t="s">
        <v>59</v>
      </c>
      <c r="C22" s="80"/>
    </row>
    <row r="23" spans="2:13" ht="15" customHeight="1">
      <c r="B23" s="83" t="s">
        <v>60</v>
      </c>
      <c r="C23" s="84"/>
    </row>
    <row r="24" spans="2:13" ht="15" customHeight="1">
      <c r="B24" s="85" t="s">
        <v>61</v>
      </c>
      <c r="C24" s="86"/>
    </row>
    <row r="25" spans="2:13" ht="15" customHeight="1">
      <c r="B25" s="87" t="s">
        <v>62</v>
      </c>
      <c r="C25" s="88"/>
    </row>
    <row r="26" spans="2:13" ht="15" customHeight="1">
      <c r="B26" s="89" t="s">
        <v>63</v>
      </c>
      <c r="C26" s="90"/>
    </row>
    <row r="27" spans="2:13" ht="15" customHeight="1">
      <c r="B27" s="91" t="s">
        <v>64</v>
      </c>
      <c r="C27" s="92"/>
    </row>
    <row r="28" spans="2:13" ht="15" customHeight="1">
      <c r="B28" s="81" t="s">
        <v>65</v>
      </c>
      <c r="C28" s="82"/>
    </row>
  </sheetData>
  <mergeCells count="11">
    <mergeCell ref="B28:C28"/>
    <mergeCell ref="B23:C23"/>
    <mergeCell ref="B24:C24"/>
    <mergeCell ref="B25:C25"/>
    <mergeCell ref="B26:C26"/>
    <mergeCell ref="B27:C27"/>
    <mergeCell ref="B3:M3"/>
    <mergeCell ref="B2:M2"/>
    <mergeCell ref="B20:C20"/>
    <mergeCell ref="B21:C21"/>
    <mergeCell ref="B22:C22"/>
  </mergeCells>
  <phoneticPr fontId="17" type="noConversion"/>
  <conditionalFormatting sqref="K5:M18">
    <cfRule type="expression" dxfId="0" priority="2">
      <formula>AND(K$4&gt;=$F5,K$4&lt;=$G5)</formula>
    </cfRule>
  </conditionalFormatting>
  <dataValidations count="1">
    <dataValidation type="list" allowBlank="1" sqref="J5:J18" xr:uid="{87E6F6DB-CBB5-4BEC-9660-7758F67717D5}">
      <formula1>"완료,진행중,확인필요,대기"</formula1>
    </dataValidation>
  </dataValidations>
  <hyperlinks>
    <hyperlink ref="Q3" r:id="rId1" display="https://jovial-phoenix-52d898.netlify.app/" xr:uid="{D71CFC42-3DCE-49F3-A017-90875B607020}"/>
  </hyperlink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E2761"/>
  </sheetPr>
  <dimension ref="B2:C25"/>
  <sheetViews>
    <sheetView showGridLines="0" topLeftCell="A2" zoomScaleNormal="100" workbookViewId="0">
      <selection activeCell="C10" sqref="C10"/>
    </sheetView>
  </sheetViews>
  <sheetFormatPr defaultColWidth="8.7109375" defaultRowHeight="15"/>
  <cols>
    <col min="1" max="1" width="4" customWidth="1"/>
    <col min="2" max="2" width="26" customWidth="1"/>
    <col min="3" max="3" width="78" customWidth="1"/>
  </cols>
  <sheetData>
    <row r="2" spans="2:3" ht="30" customHeight="1">
      <c r="B2" s="55" t="s">
        <v>66</v>
      </c>
      <c r="C2" s="56"/>
    </row>
    <row r="3" spans="2:3" ht="19.5" customHeight="1">
      <c r="B3" s="61" t="s">
        <v>67</v>
      </c>
      <c r="C3" s="47"/>
    </row>
    <row r="5" spans="2:3" ht="19.5" customHeight="1">
      <c r="B5" s="6" t="s">
        <v>68</v>
      </c>
      <c r="C5" s="6" t="s">
        <v>69</v>
      </c>
    </row>
    <row r="6" spans="2:3" ht="30" customHeight="1">
      <c r="B6" s="4" t="s">
        <v>70</v>
      </c>
      <c r="C6" s="2" t="s">
        <v>71</v>
      </c>
    </row>
    <row r="7" spans="2:3" ht="30" customHeight="1">
      <c r="B7" s="4" t="s">
        <v>72</v>
      </c>
      <c r="C7" s="2" t="s">
        <v>73</v>
      </c>
    </row>
    <row r="8" spans="2:3" ht="30" customHeight="1">
      <c r="B8" s="4" t="s">
        <v>74</v>
      </c>
      <c r="C8" s="2" t="s">
        <v>75</v>
      </c>
    </row>
    <row r="9" spans="2:3" ht="30" customHeight="1">
      <c r="B9" s="1" t="s">
        <v>76</v>
      </c>
      <c r="C9" s="2" t="s">
        <v>77</v>
      </c>
    </row>
    <row r="10" spans="2:3" ht="30" customHeight="1">
      <c r="B10" s="4" t="s">
        <v>78</v>
      </c>
      <c r="C10" s="2" t="s">
        <v>79</v>
      </c>
    </row>
    <row r="11" spans="2:3" ht="30" customHeight="1">
      <c r="B11" s="4" t="s">
        <v>80</v>
      </c>
      <c r="C11" s="2" t="s">
        <v>81</v>
      </c>
    </row>
    <row r="12" spans="2:3" ht="30" customHeight="1">
      <c r="B12" s="4" t="s">
        <v>82</v>
      </c>
      <c r="C12" s="2" t="s">
        <v>83</v>
      </c>
    </row>
    <row r="13" spans="2:3" ht="30" customHeight="1">
      <c r="B13" s="1" t="s">
        <v>84</v>
      </c>
      <c r="C13" s="2" t="s">
        <v>85</v>
      </c>
    </row>
    <row r="14" spans="2:3" ht="30" customHeight="1">
      <c r="B14" s="4" t="s">
        <v>86</v>
      </c>
      <c r="C14" s="2" t="s">
        <v>87</v>
      </c>
    </row>
    <row r="15" spans="2:3" ht="30" customHeight="1">
      <c r="B15" s="1" t="s">
        <v>88</v>
      </c>
      <c r="C15" s="2" t="s">
        <v>89</v>
      </c>
    </row>
    <row r="16" spans="2:3" ht="30" customHeight="1">
      <c r="B16" s="1" t="s">
        <v>90</v>
      </c>
      <c r="C16" s="2" t="s">
        <v>91</v>
      </c>
    </row>
    <row r="17" spans="2:3" ht="30" customHeight="1">
      <c r="B17" s="4" t="s">
        <v>92</v>
      </c>
      <c r="C17" s="2" t="s">
        <v>93</v>
      </c>
    </row>
    <row r="18" spans="2:3" ht="30" customHeight="1">
      <c r="B18" s="1" t="s">
        <v>94</v>
      </c>
      <c r="C18" s="2" t="s">
        <v>95</v>
      </c>
    </row>
    <row r="19" spans="2:3" ht="30" customHeight="1">
      <c r="B19" s="1" t="s">
        <v>96</v>
      </c>
      <c r="C19" s="2" t="s">
        <v>97</v>
      </c>
    </row>
    <row r="20" spans="2:3" ht="30" customHeight="1">
      <c r="B20" s="1" t="s">
        <v>98</v>
      </c>
      <c r="C20" s="2" t="s">
        <v>99</v>
      </c>
    </row>
    <row r="21" spans="2:3" ht="30" customHeight="1">
      <c r="B21" s="1" t="s">
        <v>100</v>
      </c>
      <c r="C21" s="3" t="s">
        <v>101</v>
      </c>
    </row>
    <row r="22" spans="2:3" ht="30" customHeight="1">
      <c r="B22" s="1" t="s">
        <v>102</v>
      </c>
      <c r="C22" s="2" t="s">
        <v>103</v>
      </c>
    </row>
    <row r="23" spans="2:3" ht="30" customHeight="1">
      <c r="B23" s="4" t="s">
        <v>104</v>
      </c>
      <c r="C23" s="2" t="s">
        <v>105</v>
      </c>
    </row>
    <row r="24" spans="2:3" ht="30" customHeight="1">
      <c r="B24" s="4" t="s">
        <v>106</v>
      </c>
      <c r="C24" s="2" t="s">
        <v>107</v>
      </c>
    </row>
    <row r="25" spans="2:3" ht="30" customHeight="1">
      <c r="B25" s="4" t="s">
        <v>108</v>
      </c>
      <c r="C25" s="2" t="s">
        <v>109</v>
      </c>
    </row>
  </sheetData>
  <mergeCells count="2">
    <mergeCell ref="B3:C3"/>
    <mergeCell ref="B2:C2"/>
  </mergeCells>
  <phoneticPr fontId="17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0_사용안내</vt:lpstr>
      <vt:lpstr>1_프롬프트가이드(참고)</vt:lpstr>
      <vt:lpstr>2_요구사항분석(실습)</vt:lpstr>
      <vt:lpstr>3_아이디어도출(실습)</vt:lpstr>
      <vt:lpstr>4_MVP정의(실습)</vt:lpstr>
      <vt:lpstr>5_WBS_간트차트(실습)</vt:lpstr>
      <vt:lpstr>6_용어설명(참고)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SSAFY</cp:lastModifiedBy>
  <cp:revision>0</cp:revision>
  <dcterms:created xsi:type="dcterms:W3CDTF">2026-07-04T14:47:43Z</dcterms:created>
  <dcterms:modified xsi:type="dcterms:W3CDTF">2026-07-16T00:38:57Z</dcterms:modified>
  <dc:language>en-US</dc:language>
</cp:coreProperties>
</file>